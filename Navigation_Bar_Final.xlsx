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RIC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<sst xmlns="http://schemas.openxmlformats.org/spreadsheetml/2006/main" count="603" uniqueCount="231">
  <si>
    <t xml:space="preserve">AURIC — Bidkin · Sector 4 · Plot 33 — Consolidated Dashboard</t>
  </si>
  <si>
    <t xml:space="preserve">All tables are synchronized to the Master Plot Info block below — edit values there and they propagate everywhere via formulas.</t>
  </si>
  <si>
    <t xml:space="preserve">MASTER PLOT INFORMATION (SOURCE OF TRUTH)</t>
  </si>
  <si>
    <t xml:space="preserve">Entity Name</t>
  </si>
  <si>
    <t xml:space="preserve">Shakti Industries Pvt. Ltd.</t>
  </si>
  <si>
    <t xml:space="preserve">Plot Owner</t>
  </si>
  <si>
    <t xml:space="preserve">AURIC ID</t>
  </si>
  <si>
    <t xml:space="preserve">AURIC/BDK/S4/P33/2024</t>
  </si>
  <si>
    <t xml:space="preserve">Project Name</t>
  </si>
  <si>
    <t xml:space="preserve">Shakti Auto Components Manufacturing Unit</t>
  </si>
  <si>
    <t xml:space="preserve">Owner Name</t>
  </si>
  <si>
    <t xml:space="preserve">Mr. Rajesh Kumar Patil</t>
  </si>
  <si>
    <t xml:space="preserve">Plot No.</t>
  </si>
  <si>
    <t xml:space="preserve">Sector No.</t>
  </si>
  <si>
    <t xml:space="preserve">Area (sqm)</t>
  </si>
  <si>
    <t xml:space="preserve">Road Frontage</t>
  </si>
  <si>
    <t xml:space="preserve">Venture Type</t>
  </si>
  <si>
    <t xml:space="preserve">Joint Venture</t>
  </si>
  <si>
    <t xml:space="preserve">Activity / Land Use</t>
  </si>
  <si>
    <t xml:space="preserve">Industrial</t>
  </si>
  <si>
    <t xml:space="preserve">Allotment Status</t>
  </si>
  <si>
    <t xml:space="preserve">Not Allotted</t>
  </si>
  <si>
    <t xml:space="preserve">Cost of Plot</t>
  </si>
  <si>
    <t xml:space="preserve">Offer Letter Date</t>
  </si>
  <si>
    <t xml:space="preserve">Allotment Date</t>
  </si>
  <si>
    <t xml:space="preserve">Possession Date</t>
  </si>
  <si>
    <t xml:space="preserve">Sub-lease Deed Date</t>
  </si>
  <si>
    <t xml:space="preserve">1. LAND</t>
  </si>
  <si>
    <t xml:space="preserve">1.1 Entity &amp; Plot Info</t>
  </si>
  <si>
    <t xml:space="preserve">Activity</t>
  </si>
  <si>
    <t xml:space="preserve">1.2 Key Dates</t>
  </si>
  <si>
    <t xml:space="preserve">Sub-lease Deed</t>
  </si>
  <si>
    <t xml:space="preserve">1.3 Project Development Schedule</t>
  </si>
  <si>
    <t xml:space="preserve">Sr. No.</t>
  </si>
  <si>
    <t xml:space="preserve">Description</t>
  </si>
  <si>
    <t xml:space="preserve">Period</t>
  </si>
  <si>
    <t xml:space="preserve">Date</t>
  </si>
  <si>
    <t xml:space="preserve">Period to obtain CC</t>
  </si>
  <si>
    <t xml:space="preserve">1 Year</t>
  </si>
  <si>
    <t xml:space="preserve">N/A</t>
  </si>
  <si>
    <t xml:space="preserve">Development Period (from Possession or Sub-lease deed, whichever is earlier)</t>
  </si>
  <si>
    <t xml:space="preserve">5 Years</t>
  </si>
  <si>
    <t xml:space="preserve">1.4 Compliance</t>
  </si>
  <si>
    <t xml:space="preserve">180 days from date of possession</t>
  </si>
  <si>
    <t xml:space="preserve">Development Period</t>
  </si>
  <si>
    <t xml:space="preserve">3 years from date of possession or execution of Sub-lease deed, whichever is earlier</t>
  </si>
  <si>
    <t xml:space="preserve">Land Use</t>
  </si>
  <si>
    <t xml:space="preserve">1.5 Land Use &amp; Title Management — Module Buttons</t>
  </si>
  <si>
    <t xml:space="preserve">#</t>
  </si>
  <si>
    <t xml:space="preserve">Module Button</t>
  </si>
  <si>
    <t xml:space="preserve">Activity Change</t>
  </si>
  <si>
    <t xml:space="preserve">Opens Activity Change sub-module</t>
  </si>
  <si>
    <t xml:space="preserve">Final Amalgamation</t>
  </si>
  <si>
    <t xml:space="preserve">Opens Final Amalgamation sub-module</t>
  </si>
  <si>
    <t xml:space="preserve">Sub-let</t>
  </si>
  <si>
    <t xml:space="preserve">Opens Sub-let sub-module</t>
  </si>
  <si>
    <t xml:space="preserve">Sub-lease</t>
  </si>
  <si>
    <t xml:space="preserve">Opens Sub-lease sub-module</t>
  </si>
  <si>
    <t xml:space="preserve">Expansion</t>
  </si>
  <si>
    <t xml:space="preserve">Opens Expansion sub-module</t>
  </si>
  <si>
    <t xml:space="preserve">Consent to Mortgage</t>
  </si>
  <si>
    <t xml:space="preserve">Opens Consent to Mortgage sub-module</t>
  </si>
  <si>
    <t xml:space="preserve">1.5.1 Activity Change</t>
  </si>
  <si>
    <t xml:space="preserve">Field</t>
  </si>
  <si>
    <t xml:space="preserve">Description / Values</t>
  </si>
  <si>
    <t xml:space="preserve">Existing Activity</t>
  </si>
  <si>
    <t xml:space="preserve">Product</t>
  </si>
  <si>
    <t xml:space="preserve">Automotive Components</t>
  </si>
  <si>
    <t xml:space="preserve">Previous Activity</t>
  </si>
  <si>
    <t xml:space="preserve">Vacant Land</t>
  </si>
  <si>
    <t xml:space="preserve">Current Activity</t>
  </si>
  <si>
    <t xml:space="preserve">1.5.2 Final Amalgamation</t>
  </si>
  <si>
    <t xml:space="preserve">Existing Plot 1</t>
  </si>
  <si>
    <t xml:space="preserve">Existing Plot 2</t>
  </si>
  <si>
    <t xml:space="preserve">Existing Plot 3</t>
  </si>
  <si>
    <t xml:space="preserve">Proposed (Merged)</t>
  </si>
  <si>
    <t xml:space="preserve">1.5.3 Sub-let</t>
  </si>
  <si>
    <t xml:space="preserve">Yes / No</t>
  </si>
  <si>
    <t xml:space="preserve">No</t>
  </si>
  <si>
    <t xml:space="preserve">Name of Owner</t>
  </si>
  <si>
    <t xml:space="preserve">Venture</t>
  </si>
  <si>
    <t xml:space="preserve">Tri-partite Agreement</t>
  </si>
  <si>
    <t xml:space="preserve">Not Applicable</t>
  </si>
  <si>
    <t xml:space="preserve">Sub-Let Certificate</t>
  </si>
  <si>
    <t xml:space="preserve">1.5.4 Sub-lease</t>
  </si>
  <si>
    <t xml:space="preserve">Sub-Lease Certificate</t>
  </si>
  <si>
    <t xml:space="preserve">1.5.5 Expansion</t>
  </si>
  <si>
    <t xml:space="preserve">1.5.6 Consent to Mortgage</t>
  </si>
  <si>
    <t xml:space="preserve">Details will be fetched from Land Department. Data pending.</t>
  </si>
  <si>
    <t xml:space="preserve">2. PLANNING</t>
  </si>
  <si>
    <t xml:space="preserve">2.1 Summary</t>
  </si>
  <si>
    <t xml:space="preserve">Maharashtra Industrial Township Limited (MITL) — formerly AITL — was established as a Special Purpose Vehicle (SPV) for implementation of DMIC-related projects in Maharashtra, with equity from NICDIT (GoI) and MIDC (GoM).</t>
  </si>
  <si>
    <t xml:space="preserve">2.2 Land Area Statement (Hectare)</t>
  </si>
  <si>
    <t xml:space="preserve">Land Use Type</t>
  </si>
  <si>
    <t xml:space="preserve">No. of Plots</t>
  </si>
  <si>
    <t xml:space="preserve">Area (Hectare)</t>
  </si>
  <si>
    <t xml:space="preserve">Open Space</t>
  </si>
  <si>
    <t xml:space="preserve">PT &amp; Drains</t>
  </si>
  <si>
    <t xml:space="preserve">Total</t>
  </si>
  <si>
    <t xml:space="preserve">All Land Use Types</t>
  </si>
  <si>
    <t xml:space="preserve">2.3 Building Project Milestone &amp; Certification — Plots Allotted (CC)</t>
  </si>
  <si>
    <t xml:space="preserve">📋 Plots to be Allotted</t>
  </si>
  <si>
    <t xml:space="preserve">Applicable Plot CC Date</t>
  </si>
  <si>
    <t xml:space="preserve">Actual Plot CC Date</t>
  </si>
  <si>
    <t xml:space="preserve">Lapsed Period (days)</t>
  </si>
  <si>
    <t xml:space="preserve">Status</t>
  </si>
  <si>
    <t xml:space="preserve">To be Allotted</t>
  </si>
  <si>
    <t xml:space="preserve">2.4 Plot Allotment Status — Sector 4 (Bidkin)</t>
  </si>
  <si>
    <t xml:space="preserve">Plot Count</t>
  </si>
  <si>
    <t xml:space="preserve">% Share</t>
  </si>
  <si>
    <t xml:space="preserve">Visual Bar</t>
  </si>
  <si>
    <t xml:space="preserve">Allotted</t>
  </si>
  <si>
    <t xml:space="preserve">███████████░░░░░░░░░</t>
  </si>
  <si>
    <t xml:space="preserve">███████░░░░░░░░░░░░░</t>
  </si>
  <si>
    <t xml:space="preserve">Under Process</t>
  </si>
  <si>
    <t xml:space="preserve">███░░░░░░░░░░░░░░░░░</t>
  </si>
  <si>
    <t xml:space="preserve">15 plots in Sector 4</t>
  </si>
  <si>
    <t xml:space="preserve">2.5 Plots Allotted (OC)</t>
  </si>
  <si>
    <t xml:space="preserve">Sr.</t>
  </si>
  <si>
    <t xml:space="preserve">Sec</t>
  </si>
  <si>
    <t xml:space="preserve">Plot</t>
  </si>
  <si>
    <t xml:space="preserve">Category</t>
  </si>
  <si>
    <t xml:space="preserve">Dev Period (Yrs)</t>
  </si>
  <si>
    <t xml:space="preserve">Applicable OC Date</t>
  </si>
  <si>
    <t xml:space="preserve">Actual OC Date</t>
  </si>
  <si>
    <t xml:space="preserve">Lapsed (days)</t>
  </si>
  <si>
    <t xml:space="preserve">Ext Period (Yrs)</t>
  </si>
  <si>
    <t xml:space="preserve">Ext Applicable OC</t>
  </si>
  <si>
    <t xml:space="preserve">Ext Actual OC</t>
  </si>
  <si>
    <t xml:space="preserve">Final Status</t>
  </si>
  <si>
    <t xml:space="preserve">* Extension options: 6 months, 1 Year, 2 Years, 3 Years  |  Click any Plot No. to zoom to that plot on the map.</t>
  </si>
  <si>
    <t xml:space="preserve">2.6 BPAS — Commencement Certificate (Land Use Wise)</t>
  </si>
  <si>
    <t xml:space="preserve">Data source: CDCPR Team API  |  Sector 4 (Bidkin) — sector-level view only</t>
  </si>
  <si>
    <t xml:space="preserve">Status / Land Use Wise</t>
  </si>
  <si>
    <t xml:space="preserve">Residential</t>
  </si>
  <si>
    <t xml:space="preserve">Commercial</t>
  </si>
  <si>
    <t xml:space="preserve">PSP</t>
  </si>
  <si>
    <t xml:space="preserve">Under processing</t>
  </si>
  <si>
    <t xml:space="preserve">Re-submit application</t>
  </si>
  <si>
    <t xml:space="preserve">Approved application</t>
  </si>
  <si>
    <t xml:space="preserve">Rejected application</t>
  </si>
  <si>
    <t xml:space="preserve">2.7 BPAS — Occupancy Certificate (Land Use Wise)</t>
  </si>
  <si>
    <t xml:space="preserve">2.8 Plots under Production — Sector 4 (Bidkin)</t>
  </si>
  <si>
    <t xml:space="preserve">Sector</t>
  </si>
  <si>
    <t xml:space="preserve">Count</t>
  </si>
  <si>
    <t xml:space="preserve">4</t>
  </si>
  <si>
    <t xml:space="preserve">PSP = Public &amp; Semi-Public (Health care, College, Institution)  |  Public Utility = Elec. substation, Landfill, STP, CETP, WTP</t>
  </si>
  <si>
    <t xml:space="preserve">2.9 Employment Generation — Sector 4 (Bidkin)</t>
  </si>
  <si>
    <t xml:space="preserve">Industry</t>
  </si>
  <si>
    <t xml:space="preserve">MSME Count</t>
  </si>
  <si>
    <t xml:space="preserve">Mega Count</t>
  </si>
  <si>
    <t xml:space="preserve">Ultra Mega Count</t>
  </si>
  <si>
    <t xml:space="preserve">2.10 Fees / Charges Against BPAS</t>
  </si>
  <si>
    <t xml:space="preserve">Scrutiny Fee</t>
  </si>
  <si>
    <t xml:space="preserve">Development Fee</t>
  </si>
  <si>
    <t xml:space="preserve">Workers Welfare Fee</t>
  </si>
  <si>
    <t xml:space="preserve">Security Deposit</t>
  </si>
  <si>
    <t xml:space="preserve">Fire Scrutiny Fee</t>
  </si>
  <si>
    <t xml:space="preserve">Compound Wall</t>
  </si>
  <si>
    <t xml:space="preserve">Add. Premium</t>
  </si>
  <si>
    <t xml:space="preserve">Payment vs Add FSI</t>
  </si>
  <si>
    <t xml:space="preserve">Payments vs Tree</t>
  </si>
  <si>
    <t xml:space="preserve">3. UTILITY</t>
  </si>
  <si>
    <t xml:space="preserve">3.1 Plot &amp; Project Details</t>
  </si>
  <si>
    <t xml:space="preserve">Plot Use</t>
  </si>
  <si>
    <t xml:space="preserve">From Date</t>
  </si>
  <si>
    <t xml:space="preserve">To Date</t>
  </si>
  <si>
    <t xml:space="preserve">3.2 Utility Charges</t>
  </si>
  <si>
    <t xml:space="preserve">Charge Head</t>
  </si>
  <si>
    <t xml:space="preserve">Amount (₹)</t>
  </si>
  <si>
    <t xml:space="preserve">CETP</t>
  </si>
  <si>
    <t xml:space="preserve">STP</t>
  </si>
  <si>
    <t xml:space="preserve">Recycle Water Meter</t>
  </si>
  <si>
    <t xml:space="preserve">Service Charges</t>
  </si>
  <si>
    <t xml:space="preserve">Fire Cess</t>
  </si>
  <si>
    <t xml:space="preserve">EPSC</t>
  </si>
  <si>
    <t xml:space="preserve">ICT Charge</t>
  </si>
  <si>
    <t xml:space="preserve">Drainage Cess</t>
  </si>
  <si>
    <t xml:space="preserve">Portable Water Charges</t>
  </si>
  <si>
    <t xml:space="preserve">Total Payable</t>
  </si>
  <si>
    <t xml:space="preserve">Delay Payment Charges</t>
  </si>
  <si>
    <t xml:space="preserve">Grand Total</t>
  </si>
  <si>
    <t xml:space="preserve">4. FINANCE</t>
  </si>
  <si>
    <t xml:space="preserve">4.0 Finance — Module Buttons</t>
  </si>
  <si>
    <t xml:space="preserve">Land Payments</t>
  </si>
  <si>
    <t xml:space="preserve">Opens Land Payments sub-module</t>
  </si>
  <si>
    <t xml:space="preserve">BPAS Fees</t>
  </si>
  <si>
    <t xml:space="preserve">Opens BPAS Fees sub-module</t>
  </si>
  <si>
    <t xml:space="preserve">Technical Person</t>
  </si>
  <si>
    <t xml:space="preserve">Opens Technical Person sub-module</t>
  </si>
  <si>
    <t xml:space="preserve">FSI Payment</t>
  </si>
  <si>
    <t xml:space="preserve">Opens FSI Payment sub-module</t>
  </si>
  <si>
    <t xml:space="preserve">Tree Cutting Fee</t>
  </si>
  <si>
    <t xml:space="preserve">Opens Tree Cutting Fee sub-module</t>
  </si>
  <si>
    <t xml:space="preserve">Temporary Construction Fees</t>
  </si>
  <si>
    <t xml:space="preserve">Opens Temporary Construction Fees sub-module</t>
  </si>
  <si>
    <t xml:space="preserve">4.1 Land Payments — Plot 33 · Sector 4</t>
  </si>
  <si>
    <t xml:space="preserve">Payment Head</t>
  </si>
  <si>
    <t xml:space="preserve">Token Payment</t>
  </si>
  <si>
    <t xml:space="preserve">Refund Amount</t>
  </si>
  <si>
    <t xml:space="preserve">BOP Payment 45%</t>
  </si>
  <si>
    <t xml:space="preserve">BOP Payment 50%</t>
  </si>
  <si>
    <t xml:space="preserve">Forfeit of Advance</t>
  </si>
  <si>
    <t xml:space="preserve">4.2 Technical Person / Consultant Fees</t>
  </si>
  <si>
    <t xml:space="preserve">Technical Person Name</t>
  </si>
  <si>
    <t xml:space="preserve">Er. Priya Deshmukh (Lic#MH-TP-7832)</t>
  </si>
  <si>
    <t xml:space="preserve">Structural Engineer Name</t>
  </si>
  <si>
    <t xml:space="preserve">Er. Anil Sharma (Lic#MH-SE-4521)</t>
  </si>
  <si>
    <t xml:space="preserve">Fees paid by Technical Person</t>
  </si>
  <si>
    <t xml:space="preserve">Fees paid by Structural Engineer</t>
  </si>
  <si>
    <t xml:space="preserve">4.3 BPAS Fees</t>
  </si>
  <si>
    <t xml:space="preserve">Fee Head</t>
  </si>
  <si>
    <t xml:space="preserve">Building Plan Approval Fees</t>
  </si>
  <si>
    <t xml:space="preserve">4.4 FSI Payment</t>
  </si>
  <si>
    <t xml:space="preserve">FSI Advance Payment</t>
  </si>
  <si>
    <t xml:space="preserve">Balance FSI Payment</t>
  </si>
  <si>
    <t xml:space="preserve">Additional Premium Received</t>
  </si>
  <si>
    <t xml:space="preserve">Payment against Add. FSI</t>
  </si>
  <si>
    <t xml:space="preserve">4.5 Tree Cutting Fee</t>
  </si>
  <si>
    <t xml:space="preserve">Tree Cutting Fees</t>
  </si>
  <si>
    <t xml:space="preserve">Payments against Tree</t>
  </si>
  <si>
    <t xml:space="preserve">4.6 Temporary Construction Fees</t>
  </si>
  <si>
    <t xml:space="preserve">Temporary Construction Fees (in Rs)</t>
  </si>
  <si>
    <t xml:space="preserve">5. CSR</t>
  </si>
  <si>
    <t xml:space="preserve">5.1 CSR — All Activities Tracked</t>
  </si>
  <si>
    <t xml:space="preserve">Name of Entity</t>
  </si>
  <si>
    <t xml:space="preserve">Description / Activity</t>
  </si>
  <si>
    <t xml:space="preserve">Remarks</t>
  </si>
  <si>
    <t xml:space="preserve">* Full CSR activity data to be provided by MITL</t>
  </si>
  <si>
    <t xml:space="preserve">6. OTHERS</t>
  </si>
  <si>
    <t xml:space="preserve">No additional data configured for this module yet.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</si>
</sst>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\₹#,##0"/>
    <numFmt numFmtId="167" formatCode="dd\-mmm\-yyyy"/>
    <numFmt numFmtId="168" formatCode="General"/>
    <numFmt numFmtId="169" formatCode="#,##0.0000"/>
    <numFmt numFmtId="170" formatCode="0"/>
    <numFmt numFmtId="171" formatCode="0.0%"/>
    <numFmt numFmtId="172" formatCode="\₹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9"/>
      <color rgb="FF78350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F4C8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1E5A8E"/>
      <name val="Consolas"/>
      <family val="0"/>
      <charset val="1"/>
    </font>
    <font>
      <i val="true"/>
      <sz val="10"/>
      <color rgb="FF475569"/>
      <name val="Calibri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3A66"/>
        <bgColor rgb="FF0F4C81"/>
      </patternFill>
    </fill>
    <fill>
      <patternFill patternType="solid">
        <fgColor rgb="FFFFF7E6"/>
        <bgColor rgb="FFF1F5F9"/>
      </patternFill>
    </fill>
    <fill>
      <patternFill patternType="solid">
        <fgColor rgb="FF0F4C81"/>
        <bgColor rgb="FF1E5A8E"/>
      </patternFill>
    </fill>
    <fill>
      <patternFill patternType="solid">
        <fgColor rgb="FFF1F5F9"/>
        <bgColor rgb="FFFFF7E6"/>
      </patternFill>
    </fill>
    <fill>
      <patternFill patternType="solid">
        <fgColor rgb="FFD5E8F0"/>
        <bgColor rgb="FFF1F5F9"/>
      </patternFill>
    </fill>
    <fill>
      <patternFill patternType="solid">
        <fgColor rgb="FF1E5A8E"/>
        <bgColor rgb="FF0F4C81"/>
      </patternFill>
    </fill>
    <fill>
      <patternFill patternType="solid">
        <fgColor rgb="FFFFFFFF"/>
        <bgColor rgb="FFFFF7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5D6"/>
      </left>
      <right style="thin">
        <color rgb="FFB7C5D6"/>
      </right>
      <top style="thin">
        <color rgb="FFB7C5D6"/>
      </top>
      <bottom style="thin">
        <color rgb="FFB7C5D6"/>
      </bottom>
      <diagonal/>
    </border>
    <border diagonalUp="false" diagonalDown="false">
      <left style="thin">
        <color rgb="FFB7C5D6"/>
      </left>
      <right/>
      <top style="thin">
        <color rgb="FFB7C5D6"/>
      </top>
      <bottom style="thin">
        <color rgb="FFB7C5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15" fillId="6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16" fillId="4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5D6"/>
      <rgbColor rgb="FF808080"/>
      <rgbColor rgb="FF9999FF"/>
      <rgbColor rgb="FF993366"/>
      <rgbColor rgb="FFFFF7E6"/>
      <rgbColor rgb="FFD5E8F0"/>
      <rgbColor rgb="FF660066"/>
      <rgbColor rgb="FFFF8080"/>
      <rgbColor rgb="FF1E5A8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3A66"/>
      <rgbColor rgb="FF339966"/>
      <rgbColor rgb="FF003300"/>
      <rgbColor rgb="FF333300"/>
      <rgbColor rgb="FF78350F"/>
      <rgbColor rgb="FF993366"/>
      <rgbColor rgb="FF0F4C81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290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12" min="4" style="0" width="16"/>
    <col collapsed="false" customWidth="true" hidden="false" outlineLevel="0" max="13" min="13" style="0" width="22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5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4.25" hidden="false" customHeight="false" outlineLevel="0" collapsed="false">
      <c r="B6" s="4" t="s">
        <v>3</v>
      </c>
      <c r="C6" s="5" t="s">
        <v>4</v>
      </c>
      <c r="D6" s="5"/>
    </row>
    <row r="7" customFormat="false" ht="14.25" hidden="false" customHeight="false" outlineLevel="0" collapsed="false">
      <c r="B7" s="4" t="s">
        <v>5</v>
      </c>
      <c r="C7" s="5" t="s">
        <v>4</v>
      </c>
      <c r="D7" s="5"/>
    </row>
    <row r="8" customFormat="false" ht="14.25" hidden="false" customHeight="false" outlineLevel="0" collapsed="false">
      <c r="B8" s="4" t="s">
        <v>6</v>
      </c>
      <c r="C8" s="5" t="s">
        <v>7</v>
      </c>
      <c r="D8" s="5"/>
    </row>
    <row r="9" customFormat="false" ht="14.25" hidden="false" customHeight="false" outlineLevel="0" collapsed="false">
      <c r="B9" s="4" t="s">
        <v>8</v>
      </c>
      <c r="C9" s="5" t="s">
        <v>9</v>
      </c>
      <c r="D9" s="5"/>
    </row>
    <row r="10" customFormat="false" ht="14.25" hidden="false" customHeight="false" outlineLevel="0" collapsed="false">
      <c r="B10" s="4" t="s">
        <v>10</v>
      </c>
      <c r="C10" s="5" t="s">
        <v>11</v>
      </c>
      <c r="D10" s="5"/>
    </row>
    <row r="11" customFormat="false" ht="14.25" hidden="false" customHeight="false" outlineLevel="0" collapsed="false">
      <c r="B11" s="4" t="s">
        <v>12</v>
      </c>
      <c r="C11" s="5" t="n">
        <v>33</v>
      </c>
      <c r="D11" s="5"/>
    </row>
    <row r="12" customFormat="false" ht="14.25" hidden="false" customHeight="false" outlineLevel="0" collapsed="false">
      <c r="B12" s="4" t="s">
        <v>13</v>
      </c>
      <c r="C12" s="5" t="n">
        <v>4</v>
      </c>
      <c r="D12" s="5"/>
    </row>
    <row r="13" customFormat="false" ht="14.25" hidden="false" customHeight="false" outlineLevel="0" collapsed="false">
      <c r="B13" s="4" t="s">
        <v>14</v>
      </c>
      <c r="C13" s="6" t="n">
        <v>361221.510625</v>
      </c>
      <c r="D13" s="6"/>
    </row>
    <row r="14" customFormat="false" ht="14.25" hidden="false" customHeight="false" outlineLevel="0" collapsed="false">
      <c r="B14" s="4" t="s">
        <v>15</v>
      </c>
      <c r="C14" s="5" t="n">
        <v>60</v>
      </c>
      <c r="D14" s="5"/>
    </row>
    <row r="15" customFormat="false" ht="14.25" hidden="false" customHeight="false" outlineLevel="0" collapsed="false">
      <c r="B15" s="4" t="s">
        <v>16</v>
      </c>
      <c r="C15" s="5" t="s">
        <v>17</v>
      </c>
      <c r="D15" s="5"/>
    </row>
    <row r="16" customFormat="false" ht="14.25" hidden="false" customHeight="false" outlineLevel="0" collapsed="false">
      <c r="B16" s="4" t="s">
        <v>18</v>
      </c>
      <c r="C16" s="5" t="s">
        <v>19</v>
      </c>
      <c r="D16" s="5"/>
    </row>
    <row r="17" customFormat="false" ht="14.25" hidden="false" customHeight="false" outlineLevel="0" collapsed="false">
      <c r="B17" s="4" t="s">
        <v>20</v>
      </c>
      <c r="C17" s="5" t="s">
        <v>21</v>
      </c>
      <c r="D17" s="5"/>
    </row>
    <row r="18" customFormat="false" ht="14.25" hidden="false" customHeight="false" outlineLevel="0" collapsed="false">
      <c r="B18" s="4" t="s">
        <v>22</v>
      </c>
      <c r="C18" s="7" t="n">
        <v>542500000</v>
      </c>
      <c r="D18" s="7"/>
    </row>
    <row r="19" customFormat="false" ht="14.25" hidden="false" customHeight="false" outlineLevel="0" collapsed="false">
      <c r="B19" s="4" t="s">
        <v>23</v>
      </c>
      <c r="C19" s="8" t="n">
        <v>45306</v>
      </c>
      <c r="D19" s="8"/>
    </row>
    <row r="20" customFormat="false" ht="14.25" hidden="false" customHeight="false" outlineLevel="0" collapsed="false">
      <c r="B20" s="4" t="s">
        <v>24</v>
      </c>
      <c r="C20" s="8" t="n">
        <v>45350</v>
      </c>
      <c r="D20" s="8"/>
    </row>
    <row r="21" customFormat="false" ht="14.25" hidden="false" customHeight="false" outlineLevel="0" collapsed="false">
      <c r="B21" s="4" t="s">
        <v>25</v>
      </c>
      <c r="C21" s="8" t="n">
        <v>45392</v>
      </c>
      <c r="D21" s="8"/>
    </row>
    <row r="22" customFormat="false" ht="14.25" hidden="false" customHeight="false" outlineLevel="0" collapsed="false">
      <c r="B22" s="4" t="s">
        <v>26</v>
      </c>
      <c r="C22" s="8" t="n">
        <v>45463</v>
      </c>
      <c r="D22" s="8"/>
    </row>
    <row r="24" customFormat="false" ht="25.5" hidden="false" customHeight="true" outlineLevel="0" collapsed="false">
      <c r="B24" s="3" t="s">
        <v>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6" customFormat="false" ht="19.5" hidden="false" customHeight="true" outlineLevel="0" collapsed="false">
      <c r="B26" s="9" t="s">
        <v>28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14.25" hidden="false" customHeight="false" outlineLevel="0" collapsed="false">
      <c r="B27" s="4" t="s">
        <v>3</v>
      </c>
      <c r="C27" s="5" t="str">
        <f aca="false">C6</f>
        <v>Shakti Industries Pvt. Ltd.</v>
      </c>
      <c r="D27" s="5"/>
    </row>
    <row r="28" customFormat="false" ht="14.25" hidden="false" customHeight="false" outlineLevel="0" collapsed="false">
      <c r="B28" s="4" t="s">
        <v>5</v>
      </c>
      <c r="C28" s="5" t="str">
        <f aca="false">C7</f>
        <v>Shakti Industries Pvt. Ltd.</v>
      </c>
      <c r="D28" s="5"/>
    </row>
    <row r="29" customFormat="false" ht="14.25" hidden="false" customHeight="false" outlineLevel="0" collapsed="false">
      <c r="B29" s="4" t="s">
        <v>12</v>
      </c>
      <c r="C29" s="5" t="n">
        <f aca="false">C11</f>
        <v>33</v>
      </c>
      <c r="D29" s="5"/>
    </row>
    <row r="30" customFormat="false" ht="14.25" hidden="false" customHeight="false" outlineLevel="0" collapsed="false">
      <c r="B30" s="4" t="s">
        <v>13</v>
      </c>
      <c r="C30" s="5" t="n">
        <f aca="false">C12</f>
        <v>4</v>
      </c>
      <c r="D30" s="5"/>
    </row>
    <row r="31" customFormat="false" ht="14.25" hidden="false" customHeight="false" outlineLevel="0" collapsed="false">
      <c r="B31" s="4" t="s">
        <v>14</v>
      </c>
      <c r="C31" s="6" t="n">
        <f aca="false">C13</f>
        <v>361221.510625</v>
      </c>
      <c r="D31" s="6"/>
    </row>
    <row r="32" customFormat="false" ht="14.25" hidden="false" customHeight="false" outlineLevel="0" collapsed="false">
      <c r="B32" s="4" t="s">
        <v>22</v>
      </c>
      <c r="C32" s="7" t="n">
        <f aca="false">C18</f>
        <v>542500000</v>
      </c>
      <c r="D32" s="7"/>
    </row>
    <row r="33" customFormat="false" ht="14.25" hidden="false" customHeight="false" outlineLevel="0" collapsed="false">
      <c r="B33" s="4" t="s">
        <v>15</v>
      </c>
      <c r="C33" s="5" t="n">
        <f aca="false">C14</f>
        <v>60</v>
      </c>
      <c r="D33" s="5"/>
    </row>
    <row r="34" customFormat="false" ht="14.25" hidden="false" customHeight="false" outlineLevel="0" collapsed="false">
      <c r="B34" s="4" t="s">
        <v>16</v>
      </c>
      <c r="C34" s="5" t="str">
        <f aca="false">C15</f>
        <v>Joint Venture</v>
      </c>
      <c r="D34" s="5"/>
    </row>
    <row r="35" customFormat="false" ht="14.25" hidden="false" customHeight="false" outlineLevel="0" collapsed="false">
      <c r="B35" s="4" t="s">
        <v>29</v>
      </c>
      <c r="C35" s="5" t="str">
        <f aca="false">C16</f>
        <v>Industrial</v>
      </c>
      <c r="D35" s="5"/>
    </row>
    <row r="36" customFormat="false" ht="14.25" hidden="false" customHeight="false" outlineLevel="0" collapsed="false">
      <c r="B36" s="4" t="s">
        <v>6</v>
      </c>
      <c r="C36" s="5" t="str">
        <f aca="false">C8</f>
        <v>AURIC/BDK/S4/P33/2024</v>
      </c>
      <c r="D36" s="5"/>
    </row>
    <row r="37" customFormat="false" ht="14.25" hidden="false" customHeight="false" outlineLevel="0" collapsed="false">
      <c r="B37" s="4" t="s">
        <v>20</v>
      </c>
      <c r="C37" s="5" t="str">
        <f aca="false">C17</f>
        <v>Not Allotted</v>
      </c>
      <c r="D37" s="5"/>
    </row>
    <row r="39" customFormat="false" ht="19.5" hidden="false" customHeight="true" outlineLevel="0" collapsed="false">
      <c r="B39" s="9" t="s">
        <v>30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customFormat="false" ht="14.25" hidden="false" customHeight="false" outlineLevel="0" collapsed="false">
      <c r="B40" s="4" t="s">
        <v>23</v>
      </c>
      <c r="C40" s="8" t="n">
        <f aca="false">C19</f>
        <v>45306</v>
      </c>
      <c r="D40" s="8"/>
    </row>
    <row r="41" customFormat="false" ht="14.25" hidden="false" customHeight="false" outlineLevel="0" collapsed="false">
      <c r="B41" s="4" t="s">
        <v>24</v>
      </c>
      <c r="C41" s="8" t="n">
        <f aca="false">C20</f>
        <v>45350</v>
      </c>
      <c r="D41" s="8"/>
    </row>
    <row r="42" customFormat="false" ht="14.25" hidden="false" customHeight="false" outlineLevel="0" collapsed="false">
      <c r="B42" s="4" t="s">
        <v>25</v>
      </c>
      <c r="C42" s="8" t="n">
        <f aca="false">C21</f>
        <v>45392</v>
      </c>
      <c r="D42" s="8"/>
    </row>
    <row r="43" customFormat="false" ht="14.25" hidden="false" customHeight="false" outlineLevel="0" collapsed="false">
      <c r="B43" s="4" t="s">
        <v>31</v>
      </c>
      <c r="C43" s="8" t="n">
        <f aca="false">C22</f>
        <v>45463</v>
      </c>
      <c r="D43" s="8"/>
    </row>
    <row r="45" customFormat="false" ht="19.5" hidden="false" customHeight="true" outlineLevel="0" collapsed="false">
      <c r="B45" s="9" t="s">
        <v>32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customFormat="false" ht="31.5" hidden="false" customHeight="true" outlineLevel="0" collapsed="false">
      <c r="B46" s="10" t="s">
        <v>33</v>
      </c>
      <c r="C46" s="10" t="s">
        <v>34</v>
      </c>
      <c r="D46" s="10"/>
      <c r="E46" s="10"/>
      <c r="F46" s="10"/>
      <c r="G46" s="10"/>
      <c r="H46" s="10"/>
      <c r="I46" s="10"/>
      <c r="J46" s="10" t="s">
        <v>35</v>
      </c>
      <c r="K46" s="10"/>
      <c r="L46" s="10" t="s">
        <v>36</v>
      </c>
      <c r="M46" s="10"/>
    </row>
    <row r="47" customFormat="false" ht="14.25" hidden="false" customHeight="false" outlineLevel="0" collapsed="false">
      <c r="B47" s="5" t="n">
        <v>1</v>
      </c>
      <c r="C47" s="5" t="s">
        <v>37</v>
      </c>
      <c r="D47" s="5"/>
      <c r="E47" s="5"/>
      <c r="F47" s="5"/>
      <c r="G47" s="5"/>
      <c r="H47" s="5"/>
      <c r="I47" s="5"/>
      <c r="J47" s="5" t="s">
        <v>38</v>
      </c>
      <c r="K47" s="5"/>
      <c r="L47" s="5" t="s">
        <v>39</v>
      </c>
      <c r="M47" s="5"/>
    </row>
    <row r="48" customFormat="false" ht="14.25" hidden="false" customHeight="false" outlineLevel="0" collapsed="false">
      <c r="B48" s="5" t="n">
        <v>2</v>
      </c>
      <c r="C48" s="5" t="s">
        <v>40</v>
      </c>
      <c r="D48" s="5"/>
      <c r="E48" s="5"/>
      <c r="F48" s="5"/>
      <c r="G48" s="5"/>
      <c r="H48" s="5"/>
      <c r="I48" s="5"/>
      <c r="J48" s="5" t="s">
        <v>41</v>
      </c>
      <c r="K48" s="5"/>
      <c r="L48" s="5" t="s">
        <v>39</v>
      </c>
      <c r="M48" s="5"/>
    </row>
    <row r="50" customFormat="false" ht="19.5" hidden="false" customHeight="true" outlineLevel="0" collapsed="false">
      <c r="B50" s="9" t="s">
        <v>42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customFormat="false" ht="14.25" hidden="false" customHeight="false" outlineLevel="0" collapsed="false">
      <c r="B51" s="4" t="s">
        <v>37</v>
      </c>
      <c r="C51" s="5" t="s">
        <v>43</v>
      </c>
      <c r="D51" s="5"/>
    </row>
    <row r="52" customFormat="false" ht="14.25" hidden="false" customHeight="false" outlineLevel="0" collapsed="false">
      <c r="B52" s="4" t="s">
        <v>44</v>
      </c>
      <c r="C52" s="5" t="s">
        <v>45</v>
      </c>
      <c r="D52" s="5"/>
    </row>
    <row r="53" customFormat="false" ht="14.25" hidden="false" customHeight="false" outlineLevel="0" collapsed="false">
      <c r="B53" s="4" t="s">
        <v>46</v>
      </c>
      <c r="C53" s="5" t="str">
        <f aca="false">C16</f>
        <v>Industrial</v>
      </c>
      <c r="D53" s="5"/>
    </row>
    <row r="54" customFormat="false" ht="14.25" hidden="false" customHeight="false" outlineLevel="0" collapsed="false">
      <c r="B54" s="4" t="s">
        <v>16</v>
      </c>
      <c r="C54" s="5" t="str">
        <f aca="false">C15</f>
        <v>Joint Venture</v>
      </c>
      <c r="D54" s="5"/>
    </row>
    <row r="56" customFormat="false" ht="19.5" hidden="false" customHeight="true" outlineLevel="0" collapsed="false">
      <c r="B56" s="9" t="s">
        <v>47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customFormat="false" ht="31.5" hidden="false" customHeight="true" outlineLevel="0" collapsed="false">
      <c r="B57" s="10" t="s">
        <v>48</v>
      </c>
      <c r="C57" s="10" t="s">
        <v>49</v>
      </c>
      <c r="D57" s="10"/>
      <c r="E57" s="10"/>
      <c r="F57" s="10"/>
      <c r="G57" s="10" t="s">
        <v>34</v>
      </c>
      <c r="H57" s="10"/>
      <c r="I57" s="10"/>
      <c r="J57" s="10"/>
      <c r="K57" s="10"/>
      <c r="L57" s="10"/>
      <c r="M57" s="10"/>
    </row>
    <row r="58" customFormat="false" ht="14.25" hidden="false" customHeight="false" outlineLevel="0" collapsed="false">
      <c r="B58" s="5" t="n">
        <v>1</v>
      </c>
      <c r="C58" s="5" t="s">
        <v>50</v>
      </c>
      <c r="D58" s="5"/>
      <c r="E58" s="5"/>
      <c r="F58" s="5"/>
      <c r="G58" s="5" t="s">
        <v>51</v>
      </c>
      <c r="H58" s="5"/>
      <c r="I58" s="5"/>
      <c r="J58" s="5"/>
      <c r="K58" s="5"/>
      <c r="L58" s="5"/>
      <c r="M58" s="5"/>
    </row>
    <row r="59" customFormat="false" ht="14.25" hidden="false" customHeight="false" outlineLevel="0" collapsed="false">
      <c r="B59" s="5" t="n">
        <v>2</v>
      </c>
      <c r="C59" s="5" t="s">
        <v>52</v>
      </c>
      <c r="D59" s="5"/>
      <c r="E59" s="5"/>
      <c r="F59" s="5"/>
      <c r="G59" s="5" t="s">
        <v>53</v>
      </c>
      <c r="H59" s="5"/>
      <c r="I59" s="5"/>
      <c r="J59" s="5"/>
      <c r="K59" s="5"/>
      <c r="L59" s="5"/>
      <c r="M59" s="5"/>
    </row>
    <row r="60" customFormat="false" ht="14.25" hidden="false" customHeight="false" outlineLevel="0" collapsed="false">
      <c r="B60" s="5" t="n">
        <v>3</v>
      </c>
      <c r="C60" s="5" t="s">
        <v>54</v>
      </c>
      <c r="D60" s="5"/>
      <c r="E60" s="5"/>
      <c r="F60" s="5"/>
      <c r="G60" s="5" t="s">
        <v>55</v>
      </c>
      <c r="H60" s="5"/>
      <c r="I60" s="5"/>
      <c r="J60" s="5"/>
      <c r="K60" s="5"/>
      <c r="L60" s="5"/>
      <c r="M60" s="5"/>
    </row>
    <row r="61" customFormat="false" ht="14.25" hidden="false" customHeight="false" outlineLevel="0" collapsed="false">
      <c r="B61" s="5" t="n">
        <v>4</v>
      </c>
      <c r="C61" s="5" t="s">
        <v>56</v>
      </c>
      <c r="D61" s="5"/>
      <c r="E61" s="5"/>
      <c r="F61" s="5"/>
      <c r="G61" s="5" t="s">
        <v>57</v>
      </c>
      <c r="H61" s="5"/>
      <c r="I61" s="5"/>
      <c r="J61" s="5"/>
      <c r="K61" s="5"/>
      <c r="L61" s="5"/>
      <c r="M61" s="5"/>
    </row>
    <row r="62" customFormat="false" ht="14.25" hidden="false" customHeight="false" outlineLevel="0" collapsed="false">
      <c r="B62" s="5" t="n">
        <v>5</v>
      </c>
      <c r="C62" s="5" t="s">
        <v>58</v>
      </c>
      <c r="D62" s="5"/>
      <c r="E62" s="5"/>
      <c r="F62" s="5"/>
      <c r="G62" s="5" t="s">
        <v>59</v>
      </c>
      <c r="H62" s="5"/>
      <c r="I62" s="5"/>
      <c r="J62" s="5"/>
      <c r="K62" s="5"/>
      <c r="L62" s="5"/>
      <c r="M62" s="5"/>
    </row>
    <row r="63" customFormat="false" ht="14.25" hidden="false" customHeight="false" outlineLevel="0" collapsed="false">
      <c r="B63" s="5" t="n">
        <v>6</v>
      </c>
      <c r="C63" s="5" t="s">
        <v>60</v>
      </c>
      <c r="D63" s="5"/>
      <c r="E63" s="5"/>
      <c r="F63" s="5"/>
      <c r="G63" s="5" t="s">
        <v>61</v>
      </c>
      <c r="H63" s="5"/>
      <c r="I63" s="5"/>
      <c r="J63" s="5"/>
      <c r="K63" s="5"/>
      <c r="L63" s="5"/>
      <c r="M63" s="5"/>
    </row>
    <row r="65" customFormat="false" ht="19.5" hidden="false" customHeight="true" outlineLevel="0" collapsed="false">
      <c r="B65" s="9" t="s">
        <v>62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customFormat="false" ht="31.5" hidden="false" customHeight="true" outlineLevel="0" collapsed="false">
      <c r="B66" s="10" t="s">
        <v>63</v>
      </c>
      <c r="C66" s="10"/>
      <c r="D66" s="10"/>
      <c r="E66" s="10" t="s">
        <v>64</v>
      </c>
      <c r="F66" s="10"/>
      <c r="G66" s="10"/>
      <c r="H66" s="10"/>
      <c r="I66" s="10"/>
      <c r="J66" s="10"/>
      <c r="K66" s="10"/>
      <c r="L66" s="10"/>
      <c r="M66" s="10"/>
    </row>
    <row r="67" customFormat="false" ht="14.25" hidden="false" customHeight="false" outlineLevel="0" collapsed="false">
      <c r="B67" s="5" t="s">
        <v>65</v>
      </c>
      <c r="C67" s="5"/>
      <c r="D67" s="5"/>
      <c r="E67" s="5" t="s">
        <v>19</v>
      </c>
      <c r="F67" s="5"/>
      <c r="G67" s="5"/>
      <c r="H67" s="5"/>
      <c r="I67" s="5"/>
      <c r="J67" s="5"/>
      <c r="K67" s="5"/>
      <c r="L67" s="5"/>
      <c r="M67" s="5"/>
    </row>
    <row r="68" customFormat="false" ht="14.25" hidden="false" customHeight="false" outlineLevel="0" collapsed="false">
      <c r="B68" s="5" t="s">
        <v>66</v>
      </c>
      <c r="C68" s="5"/>
      <c r="D68" s="5"/>
      <c r="E68" s="5" t="s">
        <v>67</v>
      </c>
      <c r="F68" s="5"/>
      <c r="G68" s="5"/>
      <c r="H68" s="5"/>
      <c r="I68" s="5"/>
      <c r="J68" s="5"/>
      <c r="K68" s="5"/>
      <c r="L68" s="5"/>
      <c r="M68" s="5"/>
    </row>
    <row r="69" customFormat="false" ht="14.25" hidden="false" customHeight="false" outlineLevel="0" collapsed="false">
      <c r="B69" s="5" t="s">
        <v>68</v>
      </c>
      <c r="C69" s="5"/>
      <c r="D69" s="5"/>
      <c r="E69" s="5" t="s">
        <v>69</v>
      </c>
      <c r="F69" s="5"/>
      <c r="G69" s="5"/>
      <c r="H69" s="5"/>
      <c r="I69" s="5"/>
      <c r="J69" s="5"/>
      <c r="K69" s="5"/>
      <c r="L69" s="5"/>
      <c r="M69" s="5"/>
    </row>
    <row r="70" customFormat="false" ht="14.25" hidden="false" customHeight="false" outlineLevel="0" collapsed="false">
      <c r="B70" s="5" t="s">
        <v>70</v>
      </c>
      <c r="C70" s="5"/>
      <c r="D70" s="5"/>
      <c r="E70" s="5" t="str">
        <f aca="false">C16</f>
        <v>Industrial</v>
      </c>
      <c r="F70" s="5"/>
      <c r="G70" s="5"/>
      <c r="H70" s="5"/>
      <c r="I70" s="5"/>
      <c r="J70" s="5"/>
      <c r="K70" s="5"/>
      <c r="L70" s="5"/>
      <c r="M70" s="5"/>
    </row>
    <row r="72" customFormat="false" ht="19.5" hidden="false" customHeight="true" outlineLevel="0" collapsed="false">
      <c r="B72" s="9" t="s">
        <v>71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customFormat="false" ht="31.5" hidden="false" customHeight="true" outlineLevel="0" collapsed="false">
      <c r="B73" s="10" t="s">
        <v>34</v>
      </c>
      <c r="C73" s="10"/>
      <c r="D73" s="10"/>
      <c r="E73" s="10"/>
      <c r="F73" s="10" t="s">
        <v>72</v>
      </c>
      <c r="G73" s="10"/>
      <c r="H73" s="10" t="s">
        <v>73</v>
      </c>
      <c r="I73" s="10"/>
      <c r="J73" s="10" t="s">
        <v>74</v>
      </c>
      <c r="K73" s="10"/>
      <c r="L73" s="10" t="s">
        <v>75</v>
      </c>
      <c r="M73" s="10"/>
    </row>
    <row r="74" customFormat="false" ht="14.25" hidden="false" customHeight="false" outlineLevel="0" collapsed="false">
      <c r="B74" s="5" t="s">
        <v>12</v>
      </c>
      <c r="C74" s="5"/>
      <c r="D74" s="5"/>
      <c r="E74" s="5"/>
      <c r="F74" s="5" t="n">
        <f aca="false">C11</f>
        <v>33</v>
      </c>
      <c r="G74" s="5"/>
      <c r="H74" s="5" t="n">
        <v>4</v>
      </c>
      <c r="I74" s="5"/>
      <c r="J74" s="5" t="n">
        <v>1</v>
      </c>
      <c r="K74" s="5"/>
      <c r="L74" s="5" t="n">
        <v>9</v>
      </c>
      <c r="M74" s="5"/>
    </row>
    <row r="75" customFormat="false" ht="14.25" hidden="false" customHeight="false" outlineLevel="0" collapsed="false">
      <c r="B75" s="5" t="s">
        <v>13</v>
      </c>
      <c r="C75" s="5"/>
      <c r="D75" s="5"/>
      <c r="E75" s="5"/>
      <c r="F75" s="5" t="n">
        <f aca="false">C12</f>
        <v>4</v>
      </c>
      <c r="G75" s="5"/>
      <c r="H75" s="5" t="n">
        <v>8</v>
      </c>
      <c r="I75" s="5"/>
      <c r="J75" s="5" t="n">
        <v>8</v>
      </c>
      <c r="K75" s="5"/>
      <c r="L75" s="5" t="n">
        <v>5</v>
      </c>
      <c r="M75" s="5"/>
    </row>
    <row r="76" customFormat="false" ht="14.25" hidden="false" customHeight="false" outlineLevel="0" collapsed="false">
      <c r="B76" s="5" t="s">
        <v>14</v>
      </c>
      <c r="C76" s="5"/>
      <c r="D76" s="5"/>
      <c r="E76" s="5"/>
      <c r="F76" s="6" t="n">
        <f aca="false">C13</f>
        <v>361221.510625</v>
      </c>
      <c r="G76" s="6"/>
      <c r="H76" s="5" t="s">
        <v>39</v>
      </c>
      <c r="I76" s="5"/>
      <c r="J76" s="5" t="s">
        <v>39</v>
      </c>
      <c r="K76" s="5"/>
      <c r="L76" s="5" t="s">
        <v>39</v>
      </c>
      <c r="M76" s="5"/>
    </row>
    <row r="78" customFormat="false" ht="19.5" hidden="false" customHeight="true" outlineLevel="0" collapsed="false">
      <c r="B78" s="9" t="s">
        <v>76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customFormat="false" ht="14.25" hidden="false" customHeight="false" outlineLevel="0" collapsed="false">
      <c r="B79" s="4" t="s">
        <v>77</v>
      </c>
      <c r="C79" s="5" t="s">
        <v>78</v>
      </c>
      <c r="D79" s="5"/>
    </row>
    <row r="80" customFormat="false" ht="14.25" hidden="false" customHeight="false" outlineLevel="0" collapsed="false">
      <c r="B80" s="4" t="s">
        <v>3</v>
      </c>
      <c r="C80" s="5" t="s">
        <v>4</v>
      </c>
      <c r="D80" s="5"/>
    </row>
    <row r="81" customFormat="false" ht="14.25" hidden="false" customHeight="false" outlineLevel="0" collapsed="false">
      <c r="B81" s="4" t="s">
        <v>79</v>
      </c>
      <c r="C81" s="5" t="s">
        <v>11</v>
      </c>
      <c r="D81" s="5"/>
    </row>
    <row r="82" customFormat="false" ht="14.25" hidden="false" customHeight="false" outlineLevel="0" collapsed="false">
      <c r="B82" s="4" t="s">
        <v>80</v>
      </c>
      <c r="C82" s="5" t="s">
        <v>17</v>
      </c>
      <c r="D82" s="5"/>
    </row>
    <row r="83" customFormat="false" ht="14.25" hidden="false" customHeight="false" outlineLevel="0" collapsed="false">
      <c r="B83" s="4" t="s">
        <v>29</v>
      </c>
      <c r="C83" s="5" t="str">
        <f aca="false">C16</f>
        <v>Industrial</v>
      </c>
      <c r="D83" s="5"/>
    </row>
    <row r="84" customFormat="false" ht="14.25" hidden="false" customHeight="false" outlineLevel="0" collapsed="false">
      <c r="B84" s="4" t="s">
        <v>81</v>
      </c>
      <c r="C84" s="5" t="s">
        <v>82</v>
      </c>
      <c r="D84" s="5"/>
    </row>
    <row r="85" customFormat="false" ht="14.25" hidden="false" customHeight="false" outlineLevel="0" collapsed="false">
      <c r="B85" s="4" t="s">
        <v>83</v>
      </c>
      <c r="C85" s="5" t="s">
        <v>82</v>
      </c>
      <c r="D85" s="5"/>
    </row>
    <row r="87" customFormat="false" ht="19.5" hidden="false" customHeight="true" outlineLevel="0" collapsed="false">
      <c r="B87" s="9" t="s">
        <v>84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customFormat="false" ht="14.25" hidden="false" customHeight="false" outlineLevel="0" collapsed="false">
      <c r="B88" s="4" t="s">
        <v>77</v>
      </c>
      <c r="C88" s="5" t="s">
        <v>78</v>
      </c>
      <c r="D88" s="5"/>
    </row>
    <row r="89" customFormat="false" ht="14.25" hidden="false" customHeight="false" outlineLevel="0" collapsed="false">
      <c r="B89" s="4" t="s">
        <v>3</v>
      </c>
      <c r="C89" s="5" t="s">
        <v>4</v>
      </c>
      <c r="D89" s="5"/>
    </row>
    <row r="90" customFormat="false" ht="14.25" hidden="false" customHeight="false" outlineLevel="0" collapsed="false">
      <c r="B90" s="4" t="s">
        <v>79</v>
      </c>
      <c r="C90" s="5" t="s">
        <v>11</v>
      </c>
      <c r="D90" s="5"/>
    </row>
    <row r="91" customFormat="false" ht="14.25" hidden="false" customHeight="false" outlineLevel="0" collapsed="false">
      <c r="B91" s="4" t="s">
        <v>80</v>
      </c>
      <c r="C91" s="5" t="s">
        <v>17</v>
      </c>
      <c r="D91" s="5"/>
    </row>
    <row r="92" customFormat="false" ht="14.25" hidden="false" customHeight="false" outlineLevel="0" collapsed="false">
      <c r="B92" s="4" t="s">
        <v>29</v>
      </c>
      <c r="C92" s="5" t="str">
        <f aca="false">C16</f>
        <v>Industrial</v>
      </c>
      <c r="D92" s="5"/>
    </row>
    <row r="93" customFormat="false" ht="14.25" hidden="false" customHeight="false" outlineLevel="0" collapsed="false">
      <c r="B93" s="4" t="s">
        <v>81</v>
      </c>
      <c r="C93" s="5" t="s">
        <v>82</v>
      </c>
      <c r="D93" s="5"/>
    </row>
    <row r="94" customFormat="false" ht="14.25" hidden="false" customHeight="false" outlineLevel="0" collapsed="false">
      <c r="B94" s="4" t="s">
        <v>85</v>
      </c>
      <c r="C94" s="5" t="s">
        <v>82</v>
      </c>
      <c r="D94" s="5"/>
    </row>
    <row r="96" customFormat="false" ht="19.5" hidden="false" customHeight="true" outlineLevel="0" collapsed="false">
      <c r="B96" s="9" t="s">
        <v>86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customFormat="false" ht="14.25" hidden="false" customHeight="false" outlineLevel="0" collapsed="false">
      <c r="B97" s="4" t="s">
        <v>77</v>
      </c>
      <c r="C97" s="5" t="s">
        <v>78</v>
      </c>
      <c r="D97" s="5"/>
    </row>
    <row r="98" customFormat="false" ht="14.25" hidden="false" customHeight="false" outlineLevel="0" collapsed="false">
      <c r="B98" s="4" t="s">
        <v>12</v>
      </c>
      <c r="C98" s="5" t="n">
        <f aca="false">C11</f>
        <v>33</v>
      </c>
      <c r="D98" s="5"/>
    </row>
    <row r="99" customFormat="false" ht="14.25" hidden="false" customHeight="false" outlineLevel="0" collapsed="false">
      <c r="B99" s="4" t="s">
        <v>13</v>
      </c>
      <c r="C99" s="5" t="n">
        <f aca="false">C12</f>
        <v>4</v>
      </c>
      <c r="D99" s="5"/>
    </row>
    <row r="100" customFormat="false" ht="14.25" hidden="false" customHeight="false" outlineLevel="0" collapsed="false">
      <c r="B100" s="4" t="s">
        <v>14</v>
      </c>
      <c r="C100" s="6" t="n">
        <f aca="false">C13</f>
        <v>361221.510625</v>
      </c>
      <c r="D100" s="6"/>
    </row>
    <row r="101" customFormat="false" ht="14.25" hidden="false" customHeight="false" outlineLevel="0" collapsed="false">
      <c r="B101" s="4" t="s">
        <v>29</v>
      </c>
      <c r="C101" s="5" t="str">
        <f aca="false">C16</f>
        <v>Industrial</v>
      </c>
      <c r="D101" s="5"/>
    </row>
    <row r="103" customFormat="false" ht="19.5" hidden="false" customHeight="true" outlineLevel="0" collapsed="false">
      <c r="B103" s="9" t="s">
        <v>87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customFormat="false" ht="21.75" hidden="false" customHeight="true" outlineLevel="0" collapsed="false">
      <c r="B104" s="2" t="s">
        <v>88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7" customFormat="false" ht="25.5" hidden="false" customHeight="true" outlineLevel="0" collapsed="false">
      <c r="B107" s="3" t="s">
        <v>89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9" customFormat="false" ht="19.5" hidden="false" customHeight="true" outlineLevel="0" collapsed="false">
      <c r="B109" s="9" t="s">
        <v>90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customFormat="false" ht="21.75" hidden="false" customHeight="true" outlineLevel="0" collapsed="false">
      <c r="B110" s="2" t="s">
        <v>91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customFormat="false" ht="14.25" hidden="false" customHeight="false" outlineLevel="0" collapsed="false">
      <c r="B111" s="4" t="s">
        <v>3</v>
      </c>
      <c r="C111" s="5" t="str">
        <f aca="false">C6</f>
        <v>Shakti Industries Pvt. Ltd.</v>
      </c>
      <c r="D111" s="5"/>
    </row>
    <row r="112" customFormat="false" ht="14.25" hidden="false" customHeight="false" outlineLevel="0" collapsed="false">
      <c r="B112" s="4" t="s">
        <v>12</v>
      </c>
      <c r="C112" s="5" t="n">
        <f aca="false">C11</f>
        <v>33</v>
      </c>
      <c r="D112" s="5"/>
    </row>
    <row r="113" customFormat="false" ht="14.25" hidden="false" customHeight="false" outlineLevel="0" collapsed="false">
      <c r="B113" s="4" t="s">
        <v>13</v>
      </c>
      <c r="C113" s="5" t="n">
        <f aca="false">C12</f>
        <v>4</v>
      </c>
      <c r="D113" s="5"/>
    </row>
    <row r="114" customFormat="false" ht="14.25" hidden="false" customHeight="false" outlineLevel="0" collapsed="false">
      <c r="B114" s="4" t="s">
        <v>14</v>
      </c>
      <c r="C114" s="6" t="n">
        <f aca="false">C13</f>
        <v>361221.510625</v>
      </c>
      <c r="D114" s="6"/>
    </row>
    <row r="115" customFormat="false" ht="14.25" hidden="false" customHeight="false" outlineLevel="0" collapsed="false">
      <c r="B115" s="4" t="s">
        <v>46</v>
      </c>
      <c r="C115" s="5" t="str">
        <f aca="false">C16</f>
        <v>Industrial</v>
      </c>
      <c r="D115" s="5"/>
    </row>
    <row r="116" customFormat="false" ht="14.25" hidden="false" customHeight="false" outlineLevel="0" collapsed="false">
      <c r="B116" s="4" t="s">
        <v>29</v>
      </c>
      <c r="C116" s="5" t="str">
        <f aca="false">C16</f>
        <v>Industrial</v>
      </c>
      <c r="D116" s="5"/>
    </row>
    <row r="117" customFormat="false" ht="14.25" hidden="false" customHeight="false" outlineLevel="0" collapsed="false">
      <c r="B117" s="4" t="s">
        <v>20</v>
      </c>
      <c r="C117" s="5" t="str">
        <f aca="false">C17</f>
        <v>Not Allotted</v>
      </c>
      <c r="D117" s="5"/>
    </row>
    <row r="118" customFormat="false" ht="14.25" hidden="false" customHeight="false" outlineLevel="0" collapsed="false">
      <c r="B118" s="4" t="s">
        <v>25</v>
      </c>
      <c r="C118" s="8" t="n">
        <f aca="false">C21</f>
        <v>45392</v>
      </c>
      <c r="D118" s="8"/>
    </row>
    <row r="120" customFormat="false" ht="19.5" hidden="false" customHeight="true" outlineLevel="0" collapsed="false">
      <c r="B120" s="9" t="s">
        <v>92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customFormat="false" ht="31.5" hidden="false" customHeight="true" outlineLevel="0" collapsed="false">
      <c r="B121" s="10" t="s">
        <v>33</v>
      </c>
      <c r="C121" s="10" t="s">
        <v>93</v>
      </c>
      <c r="D121" s="10"/>
      <c r="E121" s="10"/>
      <c r="F121" s="10"/>
      <c r="G121" s="10"/>
      <c r="H121" s="10" t="s">
        <v>94</v>
      </c>
      <c r="I121" s="10"/>
      <c r="J121" s="10"/>
      <c r="K121" s="10" t="s">
        <v>95</v>
      </c>
      <c r="L121" s="10"/>
      <c r="M121" s="10"/>
    </row>
    <row r="122" customFormat="false" ht="14.25" hidden="false" customHeight="false" outlineLevel="0" collapsed="false">
      <c r="B122" s="5" t="n">
        <v>1</v>
      </c>
      <c r="C122" s="5" t="s">
        <v>19</v>
      </c>
      <c r="D122" s="5"/>
      <c r="E122" s="5"/>
      <c r="F122" s="5"/>
      <c r="G122" s="5"/>
      <c r="H122" s="5" t="n">
        <v>2</v>
      </c>
      <c r="I122" s="5"/>
      <c r="J122" s="5"/>
      <c r="K122" s="5" t="n">
        <v>48.6602</v>
      </c>
      <c r="L122" s="5"/>
      <c r="M122" s="5"/>
    </row>
    <row r="123" customFormat="false" ht="14.25" hidden="false" customHeight="false" outlineLevel="0" collapsed="false">
      <c r="B123" s="5" t="n">
        <v>2</v>
      </c>
      <c r="C123" s="5" t="s">
        <v>96</v>
      </c>
      <c r="D123" s="5"/>
      <c r="E123" s="5"/>
      <c r="F123" s="5"/>
      <c r="G123" s="5"/>
      <c r="H123" s="5" t="n">
        <v>9</v>
      </c>
      <c r="I123" s="5"/>
      <c r="J123" s="5"/>
      <c r="K123" s="5" t="n">
        <v>9.3144</v>
      </c>
      <c r="L123" s="5"/>
      <c r="M123" s="5"/>
    </row>
    <row r="124" customFormat="false" ht="14.25" hidden="false" customHeight="false" outlineLevel="0" collapsed="false">
      <c r="B124" s="5" t="n">
        <v>3</v>
      </c>
      <c r="C124" s="5" t="s">
        <v>97</v>
      </c>
      <c r="D124" s="5"/>
      <c r="E124" s="5"/>
      <c r="F124" s="5"/>
      <c r="G124" s="5"/>
      <c r="H124" s="5" t="n">
        <v>4</v>
      </c>
      <c r="I124" s="5"/>
      <c r="J124" s="5"/>
      <c r="K124" s="5" t="n">
        <v>6.1689</v>
      </c>
      <c r="L124" s="5"/>
      <c r="M124" s="5"/>
    </row>
    <row r="125" customFormat="false" ht="14.25" hidden="false" customHeight="false" outlineLevel="0" collapsed="false">
      <c r="B125" s="11" t="s">
        <v>98</v>
      </c>
      <c r="C125" s="12" t="s">
        <v>99</v>
      </c>
      <c r="D125" s="12"/>
      <c r="E125" s="12"/>
      <c r="F125" s="12"/>
      <c r="G125" s="12"/>
      <c r="H125" s="13" t="n">
        <f aca="false">SUM(H122:H124)</f>
        <v>15</v>
      </c>
      <c r="I125" s="13"/>
      <c r="J125" s="13"/>
      <c r="K125" s="14" t="n">
        <f aca="false">SUM(K122:K124)</f>
        <v>64.1435</v>
      </c>
      <c r="L125" s="14"/>
      <c r="M125" s="14"/>
    </row>
    <row r="127" customFormat="false" ht="19.5" hidden="false" customHeight="true" outlineLevel="0" collapsed="false">
      <c r="B127" s="9" t="s">
        <v>100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customFormat="false" ht="21.75" hidden="false" customHeight="true" outlineLevel="0" collapsed="false">
      <c r="B128" s="2" t="s">
        <v>101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customFormat="false" ht="31.5" hidden="false" customHeight="true" outlineLevel="0" collapsed="false">
      <c r="B129" s="10" t="s">
        <v>13</v>
      </c>
      <c r="C129" s="10"/>
      <c r="D129" s="10" t="s">
        <v>12</v>
      </c>
      <c r="E129" s="10"/>
      <c r="F129" s="10" t="s">
        <v>102</v>
      </c>
      <c r="G129" s="10"/>
      <c r="H129" s="10" t="s">
        <v>103</v>
      </c>
      <c r="I129" s="10"/>
      <c r="J129" s="10" t="s">
        <v>104</v>
      </c>
      <c r="K129" s="10"/>
      <c r="L129" s="10" t="s">
        <v>105</v>
      </c>
      <c r="M129" s="10"/>
    </row>
    <row r="130" customFormat="false" ht="14.25" hidden="false" customHeight="false" outlineLevel="0" collapsed="false">
      <c r="B130" s="5" t="n">
        <v>4</v>
      </c>
      <c r="C130" s="5"/>
      <c r="D130" s="5" t="n">
        <v>33</v>
      </c>
      <c r="E130" s="5"/>
      <c r="F130" s="5" t="s">
        <v>39</v>
      </c>
      <c r="G130" s="5"/>
      <c r="H130" s="5" t="s">
        <v>39</v>
      </c>
      <c r="I130" s="5"/>
      <c r="J130" s="5" t="s">
        <v>39</v>
      </c>
      <c r="K130" s="5"/>
      <c r="L130" s="5" t="s">
        <v>106</v>
      </c>
      <c r="M130" s="5"/>
    </row>
    <row r="131" customFormat="false" ht="14.25" hidden="false" customHeight="false" outlineLevel="0" collapsed="false">
      <c r="B131" s="5" t="n">
        <v>4</v>
      </c>
      <c r="C131" s="5"/>
      <c r="D131" s="5" t="n">
        <v>34</v>
      </c>
      <c r="E131" s="5"/>
      <c r="F131" s="5" t="s">
        <v>39</v>
      </c>
      <c r="G131" s="5"/>
      <c r="H131" s="5" t="s">
        <v>39</v>
      </c>
      <c r="I131" s="5"/>
      <c r="J131" s="5" t="s">
        <v>39</v>
      </c>
      <c r="K131" s="5"/>
      <c r="L131" s="5" t="s">
        <v>106</v>
      </c>
      <c r="M131" s="5"/>
    </row>
    <row r="132" customFormat="false" ht="14.25" hidden="false" customHeight="false" outlineLevel="0" collapsed="false">
      <c r="B132" s="5" t="n">
        <v>4</v>
      </c>
      <c r="C132" s="5"/>
      <c r="D132" s="5" t="n">
        <v>28</v>
      </c>
      <c r="E132" s="5"/>
      <c r="F132" s="5" t="s">
        <v>39</v>
      </c>
      <c r="G132" s="5"/>
      <c r="H132" s="5" t="s">
        <v>39</v>
      </c>
      <c r="I132" s="5"/>
      <c r="J132" s="5" t="s">
        <v>39</v>
      </c>
      <c r="K132" s="5"/>
      <c r="L132" s="5" t="s">
        <v>106</v>
      </c>
      <c r="M132" s="5"/>
    </row>
    <row r="133" customFormat="false" ht="14.25" hidden="false" customHeight="false" outlineLevel="0" collapsed="false">
      <c r="B133" s="5" t="n">
        <v>4</v>
      </c>
      <c r="C133" s="5"/>
      <c r="D133" s="5" t="n">
        <v>10</v>
      </c>
      <c r="E133" s="5"/>
      <c r="F133" s="5" t="s">
        <v>39</v>
      </c>
      <c r="G133" s="5"/>
      <c r="H133" s="5" t="s">
        <v>39</v>
      </c>
      <c r="I133" s="5"/>
      <c r="J133" s="5" t="s">
        <v>39</v>
      </c>
      <c r="K133" s="5"/>
      <c r="L133" s="5" t="s">
        <v>106</v>
      </c>
      <c r="M133" s="5"/>
    </row>
    <row r="134" customFormat="false" ht="14.25" hidden="false" customHeight="false" outlineLevel="0" collapsed="false">
      <c r="B134" s="5" t="n">
        <v>4</v>
      </c>
      <c r="C134" s="5"/>
      <c r="D134" s="5" t="n">
        <v>14</v>
      </c>
      <c r="E134" s="5"/>
      <c r="F134" s="5" t="s">
        <v>39</v>
      </c>
      <c r="G134" s="5"/>
      <c r="H134" s="5" t="s">
        <v>39</v>
      </c>
      <c r="I134" s="5"/>
      <c r="J134" s="5" t="s">
        <v>39</v>
      </c>
      <c r="K134" s="5"/>
      <c r="L134" s="5" t="s">
        <v>106</v>
      </c>
      <c r="M134" s="5"/>
    </row>
    <row r="135" customFormat="false" ht="14.25" hidden="false" customHeight="false" outlineLevel="0" collapsed="false">
      <c r="B135" s="5" t="n">
        <v>4</v>
      </c>
      <c r="C135" s="5"/>
      <c r="D135" s="5" t="n">
        <v>14</v>
      </c>
      <c r="E135" s="5"/>
      <c r="F135" s="5" t="s">
        <v>39</v>
      </c>
      <c r="G135" s="5"/>
      <c r="H135" s="5" t="s">
        <v>39</v>
      </c>
      <c r="I135" s="5"/>
      <c r="J135" s="5" t="s">
        <v>39</v>
      </c>
      <c r="K135" s="5"/>
      <c r="L135" s="5" t="s">
        <v>106</v>
      </c>
      <c r="M135" s="5"/>
    </row>
    <row r="136" customFormat="false" ht="14.25" hidden="false" customHeight="false" outlineLevel="0" collapsed="false">
      <c r="B136" s="5" t="n">
        <v>4</v>
      </c>
      <c r="C136" s="5"/>
      <c r="D136" s="5" t="n">
        <v>28</v>
      </c>
      <c r="E136" s="5"/>
      <c r="F136" s="5" t="s">
        <v>39</v>
      </c>
      <c r="G136" s="5"/>
      <c r="H136" s="5" t="s">
        <v>39</v>
      </c>
      <c r="I136" s="5"/>
      <c r="J136" s="5" t="s">
        <v>39</v>
      </c>
      <c r="K136" s="5"/>
      <c r="L136" s="5" t="s">
        <v>106</v>
      </c>
      <c r="M136" s="5"/>
    </row>
    <row r="137" customFormat="false" ht="14.25" hidden="false" customHeight="false" outlineLevel="0" collapsed="false">
      <c r="B137" s="5" t="n">
        <v>4</v>
      </c>
      <c r="C137" s="5"/>
      <c r="D137" s="5" t="n">
        <v>0</v>
      </c>
      <c r="E137" s="5"/>
      <c r="F137" s="5" t="s">
        <v>39</v>
      </c>
      <c r="G137" s="5"/>
      <c r="H137" s="5" t="s">
        <v>39</v>
      </c>
      <c r="I137" s="5"/>
      <c r="J137" s="5" t="s">
        <v>39</v>
      </c>
      <c r="K137" s="5"/>
      <c r="L137" s="5" t="s">
        <v>106</v>
      </c>
      <c r="M137" s="5"/>
    </row>
    <row r="138" customFormat="false" ht="14.25" hidden="false" customHeight="false" outlineLevel="0" collapsed="false">
      <c r="B138" s="5" t="n">
        <v>4</v>
      </c>
      <c r="C138" s="5"/>
      <c r="D138" s="5" t="n">
        <v>0</v>
      </c>
      <c r="E138" s="5"/>
      <c r="F138" s="5" t="s">
        <v>39</v>
      </c>
      <c r="G138" s="5"/>
      <c r="H138" s="5" t="s">
        <v>39</v>
      </c>
      <c r="I138" s="5"/>
      <c r="J138" s="5" t="s">
        <v>39</v>
      </c>
      <c r="K138" s="5"/>
      <c r="L138" s="5" t="s">
        <v>106</v>
      </c>
      <c r="M138" s="5"/>
    </row>
    <row r="139" customFormat="false" ht="14.25" hidden="false" customHeight="false" outlineLevel="0" collapsed="false">
      <c r="B139" s="5" t="n">
        <v>4</v>
      </c>
      <c r="C139" s="5"/>
      <c r="D139" s="5" t="n">
        <v>23</v>
      </c>
      <c r="E139" s="5"/>
      <c r="F139" s="5" t="s">
        <v>39</v>
      </c>
      <c r="G139" s="5"/>
      <c r="H139" s="5" t="s">
        <v>39</v>
      </c>
      <c r="I139" s="5"/>
      <c r="J139" s="5" t="s">
        <v>39</v>
      </c>
      <c r="K139" s="5"/>
      <c r="L139" s="5" t="s">
        <v>106</v>
      </c>
      <c r="M139" s="5"/>
    </row>
    <row r="140" customFormat="false" ht="14.25" hidden="false" customHeight="false" outlineLevel="0" collapsed="false">
      <c r="B140" s="5" t="n">
        <v>4</v>
      </c>
      <c r="C140" s="5"/>
      <c r="D140" s="5" t="n">
        <v>23</v>
      </c>
      <c r="E140" s="5"/>
      <c r="F140" s="5" t="s">
        <v>39</v>
      </c>
      <c r="G140" s="5"/>
      <c r="H140" s="5" t="s">
        <v>39</v>
      </c>
      <c r="I140" s="5"/>
      <c r="J140" s="5" t="s">
        <v>39</v>
      </c>
      <c r="K140" s="5"/>
      <c r="L140" s="5" t="s">
        <v>106</v>
      </c>
      <c r="M140" s="5"/>
    </row>
    <row r="141" customFormat="false" ht="14.25" hidden="false" customHeight="false" outlineLevel="0" collapsed="false">
      <c r="B141" s="5" t="n">
        <v>4</v>
      </c>
      <c r="C141" s="5"/>
      <c r="D141" s="5" t="n">
        <v>0</v>
      </c>
      <c r="E141" s="5"/>
      <c r="F141" s="5" t="s">
        <v>39</v>
      </c>
      <c r="G141" s="5"/>
      <c r="H141" s="5" t="s">
        <v>39</v>
      </c>
      <c r="I141" s="5"/>
      <c r="J141" s="5" t="s">
        <v>39</v>
      </c>
      <c r="K141" s="5"/>
      <c r="L141" s="5" t="s">
        <v>106</v>
      </c>
      <c r="M141" s="5"/>
    </row>
    <row r="142" customFormat="false" ht="14.25" hidden="false" customHeight="false" outlineLevel="0" collapsed="false">
      <c r="B142" s="5" t="n">
        <v>4</v>
      </c>
      <c r="C142" s="5"/>
      <c r="D142" s="5" t="n">
        <v>23</v>
      </c>
      <c r="E142" s="5"/>
      <c r="F142" s="5" t="s">
        <v>39</v>
      </c>
      <c r="G142" s="5"/>
      <c r="H142" s="5" t="s">
        <v>39</v>
      </c>
      <c r="I142" s="5"/>
      <c r="J142" s="5" t="s">
        <v>39</v>
      </c>
      <c r="K142" s="5"/>
      <c r="L142" s="5" t="s">
        <v>106</v>
      </c>
      <c r="M142" s="5"/>
    </row>
    <row r="143" customFormat="false" ht="14.25" hidden="false" customHeight="false" outlineLevel="0" collapsed="false">
      <c r="B143" s="5" t="n">
        <v>4</v>
      </c>
      <c r="C143" s="5"/>
      <c r="D143" s="5" t="n">
        <v>0</v>
      </c>
      <c r="E143" s="5"/>
      <c r="F143" s="5" t="s">
        <v>39</v>
      </c>
      <c r="G143" s="5"/>
      <c r="H143" s="5" t="s">
        <v>39</v>
      </c>
      <c r="I143" s="5"/>
      <c r="J143" s="5" t="s">
        <v>39</v>
      </c>
      <c r="K143" s="5"/>
      <c r="L143" s="5" t="s">
        <v>106</v>
      </c>
      <c r="M143" s="5"/>
    </row>
    <row r="144" customFormat="false" ht="14.25" hidden="false" customHeight="false" outlineLevel="0" collapsed="false">
      <c r="B144" s="5" t="n">
        <v>4</v>
      </c>
      <c r="C144" s="5"/>
      <c r="D144" s="5" t="n">
        <v>10</v>
      </c>
      <c r="E144" s="5"/>
      <c r="F144" s="5" t="s">
        <v>39</v>
      </c>
      <c r="G144" s="5"/>
      <c r="H144" s="5" t="s">
        <v>39</v>
      </c>
      <c r="I144" s="5"/>
      <c r="J144" s="5" t="s">
        <v>39</v>
      </c>
      <c r="K144" s="5"/>
      <c r="L144" s="5" t="s">
        <v>106</v>
      </c>
      <c r="M144" s="5"/>
    </row>
    <row r="146" customFormat="false" ht="19.5" hidden="false" customHeight="true" outlineLevel="0" collapsed="false">
      <c r="B146" s="9" t="s">
        <v>107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customFormat="false" ht="27.75" hidden="false" customHeight="true" outlineLevel="0" collapsed="false">
      <c r="B147" s="10" t="s">
        <v>105</v>
      </c>
      <c r="C147" s="10"/>
      <c r="D147" s="10"/>
      <c r="E147" s="10" t="s">
        <v>108</v>
      </c>
      <c r="F147" s="10"/>
      <c r="G147" s="10" t="s">
        <v>109</v>
      </c>
      <c r="H147" s="10"/>
      <c r="I147" s="10" t="s">
        <v>110</v>
      </c>
      <c r="J147" s="10"/>
      <c r="K147" s="10"/>
      <c r="L147" s="10"/>
      <c r="M147" s="10"/>
    </row>
    <row r="148" customFormat="false" ht="14.25" hidden="false" customHeight="false" outlineLevel="0" collapsed="false">
      <c r="B148" s="15" t="s">
        <v>111</v>
      </c>
      <c r="C148" s="15"/>
      <c r="D148" s="15"/>
      <c r="E148" s="16" t="n">
        <v>8</v>
      </c>
      <c r="F148" s="16"/>
      <c r="G148" s="17" t="n">
        <v>0.533333333333333</v>
      </c>
      <c r="H148" s="17"/>
      <c r="I148" s="18" t="s">
        <v>112</v>
      </c>
      <c r="J148" s="18"/>
      <c r="K148" s="18"/>
      <c r="L148" s="18"/>
      <c r="M148" s="18"/>
    </row>
    <row r="149" customFormat="false" ht="14.25" hidden="false" customHeight="false" outlineLevel="0" collapsed="false">
      <c r="B149" s="15" t="s">
        <v>21</v>
      </c>
      <c r="C149" s="15"/>
      <c r="D149" s="15"/>
      <c r="E149" s="16" t="n">
        <v>5</v>
      </c>
      <c r="F149" s="16"/>
      <c r="G149" s="17" t="n">
        <v>0.333333333333333</v>
      </c>
      <c r="H149" s="17"/>
      <c r="I149" s="18" t="s">
        <v>113</v>
      </c>
      <c r="J149" s="18"/>
      <c r="K149" s="18"/>
      <c r="L149" s="18"/>
      <c r="M149" s="18"/>
    </row>
    <row r="150" customFormat="false" ht="14.25" hidden="false" customHeight="false" outlineLevel="0" collapsed="false">
      <c r="B150" s="15" t="s">
        <v>114</v>
      </c>
      <c r="C150" s="15"/>
      <c r="D150" s="15"/>
      <c r="E150" s="16" t="n">
        <v>2</v>
      </c>
      <c r="F150" s="16"/>
      <c r="G150" s="17" t="n">
        <v>0.133333333333333</v>
      </c>
      <c r="H150" s="17"/>
      <c r="I150" s="18" t="s">
        <v>115</v>
      </c>
      <c r="J150" s="18"/>
      <c r="K150" s="18"/>
      <c r="L150" s="18"/>
      <c r="M150" s="18"/>
    </row>
    <row r="151" customFormat="false" ht="14.25" hidden="false" customHeight="false" outlineLevel="0" collapsed="false">
      <c r="B151" s="19" t="s">
        <v>98</v>
      </c>
      <c r="C151" s="19"/>
      <c r="D151" s="19"/>
      <c r="E151" s="20" t="n">
        <f aca="false">SUM(E148:E150)</f>
        <v>15</v>
      </c>
      <c r="F151" s="20"/>
      <c r="G151" s="21" t="n">
        <v>1</v>
      </c>
      <c r="H151" s="21"/>
      <c r="I151" s="22" t="s">
        <v>116</v>
      </c>
      <c r="J151" s="22"/>
      <c r="K151" s="22"/>
      <c r="L151" s="22"/>
      <c r="M151" s="22"/>
    </row>
    <row r="152" customFormat="false" ht="14.25" hidden="false" customHeight="false" outlineLevel="0" collapsed="false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 customFormat="false" ht="14.25" hidden="false" customHeight="false" outlineLevel="0" collapsed="false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 customFormat="false" ht="14.25" hidden="false" customHeight="false" outlineLevel="0" collapsed="false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 customFormat="false" ht="14.25" hidden="false" customHeight="false" outlineLevel="0" collapsed="false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 customFormat="false" ht="14.25" hidden="false" customHeight="false" outlineLevel="0" collapsed="false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 customFormat="false" ht="14.25" hidden="false" customHeight="false" outlineLevel="0" collapsed="false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 customFormat="false" ht="14.25" hidden="false" customHeight="false" outlineLevel="0" collapsed="false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 customFormat="false" ht="14.25" hidden="false" customHeight="false" outlineLevel="0" collapsed="false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 customFormat="false" ht="14.25" hidden="false" customHeight="false" outlineLevel="0" collapsed="false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 customFormat="false" ht="14.25" hidden="false" customHeight="false" outlineLevel="0" collapsed="false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 customFormat="false" ht="14.25" hidden="false" customHeight="false" outlineLevel="0" collapsed="false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 customFormat="false" ht="14.25" hidden="false" customHeight="false" outlineLevel="0" collapsed="false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 customFormat="false" ht="14.25" hidden="false" customHeight="false" outlineLevel="0" collapsed="false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 customFormat="false" ht="14.25" hidden="false" customHeight="false" outlineLevel="0" collapsed="false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 customFormat="false" ht="14.25" hidden="false" customHeight="false" outlineLevel="0" collapsed="false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 customFormat="false" ht="14.25" hidden="false" customHeight="false" outlineLevel="0" collapsed="false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 customFormat="false" ht="14.25" hidden="false" customHeight="false" outlineLevel="0" collapsed="false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 customFormat="false" ht="19.5" hidden="false" customHeight="true" outlineLevel="0" collapsed="false">
      <c r="B169" s="9" t="s">
        <v>117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customFormat="false" ht="31.5" hidden="false" customHeight="true" outlineLevel="0" collapsed="false">
      <c r="B170" s="10" t="s">
        <v>118</v>
      </c>
      <c r="C170" s="10" t="s">
        <v>119</v>
      </c>
      <c r="D170" s="10" t="s">
        <v>120</v>
      </c>
      <c r="E170" s="10" t="s">
        <v>121</v>
      </c>
      <c r="F170" s="10" t="s">
        <v>122</v>
      </c>
      <c r="G170" s="10" t="s">
        <v>123</v>
      </c>
      <c r="H170" s="10" t="s">
        <v>124</v>
      </c>
      <c r="I170" s="10" t="s">
        <v>125</v>
      </c>
      <c r="J170" s="10" t="s">
        <v>126</v>
      </c>
      <c r="K170" s="10" t="s">
        <v>127</v>
      </c>
      <c r="L170" s="10" t="s">
        <v>128</v>
      </c>
      <c r="M170" s="10" t="s">
        <v>129</v>
      </c>
    </row>
    <row r="171" customFormat="false" ht="14.25" hidden="false" customHeight="false" outlineLevel="0" collapsed="false">
      <c r="B171" s="5" t="n">
        <v>1</v>
      </c>
      <c r="C171" s="5" t="n">
        <v>4</v>
      </c>
      <c r="D171" s="5" t="n">
        <v>33</v>
      </c>
      <c r="E171" s="5" t="s">
        <v>39</v>
      </c>
      <c r="F171" s="5" t="s">
        <v>39</v>
      </c>
      <c r="G171" s="5" t="s">
        <v>39</v>
      </c>
      <c r="H171" s="5" t="s">
        <v>39</v>
      </c>
      <c r="I171" s="5" t="s">
        <v>39</v>
      </c>
      <c r="J171" s="5" t="s">
        <v>39</v>
      </c>
      <c r="K171" s="5" t="s">
        <v>39</v>
      </c>
      <c r="L171" s="5" t="s">
        <v>39</v>
      </c>
      <c r="M171" s="5" t="s">
        <v>106</v>
      </c>
    </row>
    <row r="172" customFormat="false" ht="14.25" hidden="false" customHeight="false" outlineLevel="0" collapsed="false">
      <c r="B172" s="5" t="n">
        <v>2</v>
      </c>
      <c r="C172" s="5" t="n">
        <v>4</v>
      </c>
      <c r="D172" s="5" t="n">
        <v>34</v>
      </c>
      <c r="E172" s="5" t="s">
        <v>39</v>
      </c>
      <c r="F172" s="5" t="s">
        <v>39</v>
      </c>
      <c r="G172" s="5" t="s">
        <v>39</v>
      </c>
      <c r="H172" s="5" t="s">
        <v>39</v>
      </c>
      <c r="I172" s="5" t="s">
        <v>39</v>
      </c>
      <c r="J172" s="5" t="s">
        <v>39</v>
      </c>
      <c r="K172" s="5" t="s">
        <v>39</v>
      </c>
      <c r="L172" s="5" t="s">
        <v>39</v>
      </c>
      <c r="M172" s="5" t="s">
        <v>106</v>
      </c>
    </row>
    <row r="173" customFormat="false" ht="14.25" hidden="false" customHeight="false" outlineLevel="0" collapsed="false">
      <c r="B173" s="5" t="n">
        <v>3</v>
      </c>
      <c r="C173" s="5" t="n">
        <v>4</v>
      </c>
      <c r="D173" s="5" t="n">
        <v>28</v>
      </c>
      <c r="E173" s="5" t="s">
        <v>39</v>
      </c>
      <c r="F173" s="5" t="s">
        <v>39</v>
      </c>
      <c r="G173" s="5" t="s">
        <v>39</v>
      </c>
      <c r="H173" s="5" t="s">
        <v>39</v>
      </c>
      <c r="I173" s="5" t="s">
        <v>39</v>
      </c>
      <c r="J173" s="5" t="s">
        <v>39</v>
      </c>
      <c r="K173" s="5" t="s">
        <v>39</v>
      </c>
      <c r="L173" s="5" t="s">
        <v>39</v>
      </c>
      <c r="M173" s="5" t="s">
        <v>106</v>
      </c>
    </row>
    <row r="174" customFormat="false" ht="14.25" hidden="false" customHeight="false" outlineLevel="0" collapsed="false">
      <c r="B174" s="5" t="n">
        <v>4</v>
      </c>
      <c r="C174" s="5" t="n">
        <v>4</v>
      </c>
      <c r="D174" s="5" t="n">
        <v>10</v>
      </c>
      <c r="E174" s="5" t="s">
        <v>39</v>
      </c>
      <c r="F174" s="5" t="s">
        <v>39</v>
      </c>
      <c r="G174" s="5" t="s">
        <v>39</v>
      </c>
      <c r="H174" s="5" t="s">
        <v>39</v>
      </c>
      <c r="I174" s="5" t="s">
        <v>39</v>
      </c>
      <c r="J174" s="5" t="s">
        <v>39</v>
      </c>
      <c r="K174" s="5" t="s">
        <v>39</v>
      </c>
      <c r="L174" s="5" t="s">
        <v>39</v>
      </c>
      <c r="M174" s="5" t="s">
        <v>106</v>
      </c>
    </row>
    <row r="175" customFormat="false" ht="14.25" hidden="false" customHeight="false" outlineLevel="0" collapsed="false">
      <c r="B175" s="5" t="n">
        <v>5</v>
      </c>
      <c r="C175" s="5" t="n">
        <v>4</v>
      </c>
      <c r="D175" s="5" t="n">
        <v>14</v>
      </c>
      <c r="E175" s="5" t="s">
        <v>39</v>
      </c>
      <c r="F175" s="5" t="s">
        <v>39</v>
      </c>
      <c r="G175" s="5" t="s">
        <v>39</v>
      </c>
      <c r="H175" s="5" t="s">
        <v>39</v>
      </c>
      <c r="I175" s="5" t="s">
        <v>39</v>
      </c>
      <c r="J175" s="5" t="s">
        <v>39</v>
      </c>
      <c r="K175" s="5" t="s">
        <v>39</v>
      </c>
      <c r="L175" s="5" t="s">
        <v>39</v>
      </c>
      <c r="M175" s="5" t="s">
        <v>106</v>
      </c>
    </row>
    <row r="176" customFormat="false" ht="14.25" hidden="false" customHeight="false" outlineLevel="0" collapsed="false">
      <c r="B176" s="5" t="n">
        <v>6</v>
      </c>
      <c r="C176" s="5" t="n">
        <v>4</v>
      </c>
      <c r="D176" s="5" t="n">
        <v>14</v>
      </c>
      <c r="E176" s="5" t="s">
        <v>39</v>
      </c>
      <c r="F176" s="5" t="s">
        <v>39</v>
      </c>
      <c r="G176" s="5" t="s">
        <v>39</v>
      </c>
      <c r="H176" s="5" t="s">
        <v>39</v>
      </c>
      <c r="I176" s="5" t="s">
        <v>39</v>
      </c>
      <c r="J176" s="5" t="s">
        <v>39</v>
      </c>
      <c r="K176" s="5" t="s">
        <v>39</v>
      </c>
      <c r="L176" s="5" t="s">
        <v>39</v>
      </c>
      <c r="M176" s="5" t="s">
        <v>106</v>
      </c>
    </row>
    <row r="177" customFormat="false" ht="14.25" hidden="false" customHeight="false" outlineLevel="0" collapsed="false">
      <c r="B177" s="5" t="n">
        <v>7</v>
      </c>
      <c r="C177" s="5" t="n">
        <v>4</v>
      </c>
      <c r="D177" s="5" t="n">
        <v>28</v>
      </c>
      <c r="E177" s="5" t="s">
        <v>39</v>
      </c>
      <c r="F177" s="5" t="s">
        <v>39</v>
      </c>
      <c r="G177" s="5" t="s">
        <v>39</v>
      </c>
      <c r="H177" s="5" t="s">
        <v>39</v>
      </c>
      <c r="I177" s="5" t="s">
        <v>39</v>
      </c>
      <c r="J177" s="5" t="s">
        <v>39</v>
      </c>
      <c r="K177" s="5" t="s">
        <v>39</v>
      </c>
      <c r="L177" s="5" t="s">
        <v>39</v>
      </c>
      <c r="M177" s="5" t="s">
        <v>106</v>
      </c>
    </row>
    <row r="178" customFormat="false" ht="14.25" hidden="false" customHeight="false" outlineLevel="0" collapsed="false">
      <c r="B178" s="5" t="n">
        <v>8</v>
      </c>
      <c r="C178" s="5" t="n">
        <v>4</v>
      </c>
      <c r="D178" s="5" t="n">
        <v>0</v>
      </c>
      <c r="E178" s="5" t="s">
        <v>39</v>
      </c>
      <c r="F178" s="5" t="s">
        <v>39</v>
      </c>
      <c r="G178" s="5" t="s">
        <v>39</v>
      </c>
      <c r="H178" s="5" t="s">
        <v>39</v>
      </c>
      <c r="I178" s="5" t="s">
        <v>39</v>
      </c>
      <c r="J178" s="5" t="s">
        <v>39</v>
      </c>
      <c r="K178" s="5" t="s">
        <v>39</v>
      </c>
      <c r="L178" s="5" t="s">
        <v>39</v>
      </c>
      <c r="M178" s="5" t="s">
        <v>106</v>
      </c>
    </row>
    <row r="179" customFormat="false" ht="14.25" hidden="false" customHeight="false" outlineLevel="0" collapsed="false">
      <c r="B179" s="5" t="n">
        <v>9</v>
      </c>
      <c r="C179" s="5" t="n">
        <v>4</v>
      </c>
      <c r="D179" s="5" t="n">
        <v>0</v>
      </c>
      <c r="E179" s="5" t="s">
        <v>39</v>
      </c>
      <c r="F179" s="5" t="s">
        <v>39</v>
      </c>
      <c r="G179" s="5" t="s">
        <v>39</v>
      </c>
      <c r="H179" s="5" t="s">
        <v>39</v>
      </c>
      <c r="I179" s="5" t="s">
        <v>39</v>
      </c>
      <c r="J179" s="5" t="s">
        <v>39</v>
      </c>
      <c r="K179" s="5" t="s">
        <v>39</v>
      </c>
      <c r="L179" s="5" t="s">
        <v>39</v>
      </c>
      <c r="M179" s="5" t="s">
        <v>106</v>
      </c>
    </row>
    <row r="180" customFormat="false" ht="14.25" hidden="false" customHeight="false" outlineLevel="0" collapsed="false">
      <c r="B180" s="5" t="n">
        <v>10</v>
      </c>
      <c r="C180" s="5" t="n">
        <v>4</v>
      </c>
      <c r="D180" s="5" t="n">
        <v>23</v>
      </c>
      <c r="E180" s="5" t="s">
        <v>39</v>
      </c>
      <c r="F180" s="5" t="s">
        <v>39</v>
      </c>
      <c r="G180" s="5" t="s">
        <v>39</v>
      </c>
      <c r="H180" s="5" t="s">
        <v>39</v>
      </c>
      <c r="I180" s="5" t="s">
        <v>39</v>
      </c>
      <c r="J180" s="5" t="s">
        <v>39</v>
      </c>
      <c r="K180" s="5" t="s">
        <v>39</v>
      </c>
      <c r="L180" s="5" t="s">
        <v>39</v>
      </c>
      <c r="M180" s="5" t="s">
        <v>106</v>
      </c>
    </row>
    <row r="181" customFormat="false" ht="14.25" hidden="false" customHeight="false" outlineLevel="0" collapsed="false">
      <c r="B181" s="5" t="n">
        <v>11</v>
      </c>
      <c r="C181" s="5" t="n">
        <v>4</v>
      </c>
      <c r="D181" s="5" t="n">
        <v>23</v>
      </c>
      <c r="E181" s="5" t="s">
        <v>39</v>
      </c>
      <c r="F181" s="5" t="s">
        <v>39</v>
      </c>
      <c r="G181" s="5" t="s">
        <v>39</v>
      </c>
      <c r="H181" s="5" t="s">
        <v>39</v>
      </c>
      <c r="I181" s="5" t="s">
        <v>39</v>
      </c>
      <c r="J181" s="5" t="s">
        <v>39</v>
      </c>
      <c r="K181" s="5" t="s">
        <v>39</v>
      </c>
      <c r="L181" s="5" t="s">
        <v>39</v>
      </c>
      <c r="M181" s="5" t="s">
        <v>106</v>
      </c>
    </row>
    <row r="182" customFormat="false" ht="14.25" hidden="false" customHeight="false" outlineLevel="0" collapsed="false">
      <c r="B182" s="5" t="n">
        <v>12</v>
      </c>
      <c r="C182" s="5" t="n">
        <v>4</v>
      </c>
      <c r="D182" s="5" t="n">
        <v>0</v>
      </c>
      <c r="E182" s="5" t="s">
        <v>39</v>
      </c>
      <c r="F182" s="5" t="s">
        <v>39</v>
      </c>
      <c r="G182" s="5" t="s">
        <v>39</v>
      </c>
      <c r="H182" s="5" t="s">
        <v>39</v>
      </c>
      <c r="I182" s="5" t="s">
        <v>39</v>
      </c>
      <c r="J182" s="5" t="s">
        <v>39</v>
      </c>
      <c r="K182" s="5" t="s">
        <v>39</v>
      </c>
      <c r="L182" s="5" t="s">
        <v>39</v>
      </c>
      <c r="M182" s="5" t="s">
        <v>106</v>
      </c>
    </row>
    <row r="183" customFormat="false" ht="14.25" hidden="false" customHeight="false" outlineLevel="0" collapsed="false">
      <c r="B183" s="5" t="n">
        <v>13</v>
      </c>
      <c r="C183" s="5" t="n">
        <v>4</v>
      </c>
      <c r="D183" s="5" t="n">
        <v>23</v>
      </c>
      <c r="E183" s="5" t="s">
        <v>39</v>
      </c>
      <c r="F183" s="5" t="s">
        <v>39</v>
      </c>
      <c r="G183" s="5" t="s">
        <v>39</v>
      </c>
      <c r="H183" s="5" t="s">
        <v>39</v>
      </c>
      <c r="I183" s="5" t="s">
        <v>39</v>
      </c>
      <c r="J183" s="5" t="s">
        <v>39</v>
      </c>
      <c r="K183" s="5" t="s">
        <v>39</v>
      </c>
      <c r="L183" s="5" t="s">
        <v>39</v>
      </c>
      <c r="M183" s="5" t="s">
        <v>106</v>
      </c>
    </row>
    <row r="184" customFormat="false" ht="14.25" hidden="false" customHeight="false" outlineLevel="0" collapsed="false">
      <c r="B184" s="5" t="n">
        <v>14</v>
      </c>
      <c r="C184" s="5" t="n">
        <v>4</v>
      </c>
      <c r="D184" s="5" t="n">
        <v>0</v>
      </c>
      <c r="E184" s="5" t="s">
        <v>39</v>
      </c>
      <c r="F184" s="5" t="s">
        <v>39</v>
      </c>
      <c r="G184" s="5" t="s">
        <v>39</v>
      </c>
      <c r="H184" s="5" t="s">
        <v>39</v>
      </c>
      <c r="I184" s="5" t="s">
        <v>39</v>
      </c>
      <c r="J184" s="5" t="s">
        <v>39</v>
      </c>
      <c r="K184" s="5" t="s">
        <v>39</v>
      </c>
      <c r="L184" s="5" t="s">
        <v>39</v>
      </c>
      <c r="M184" s="5" t="s">
        <v>106</v>
      </c>
    </row>
    <row r="185" customFormat="false" ht="14.25" hidden="false" customHeight="false" outlineLevel="0" collapsed="false">
      <c r="B185" s="5" t="n">
        <v>15</v>
      </c>
      <c r="C185" s="5" t="n">
        <v>4</v>
      </c>
      <c r="D185" s="5" t="n">
        <v>10</v>
      </c>
      <c r="E185" s="5" t="s">
        <v>39</v>
      </c>
      <c r="F185" s="5" t="s">
        <v>39</v>
      </c>
      <c r="G185" s="5" t="s">
        <v>39</v>
      </c>
      <c r="H185" s="5" t="s">
        <v>39</v>
      </c>
      <c r="I185" s="5" t="s">
        <v>39</v>
      </c>
      <c r="J185" s="5" t="s">
        <v>39</v>
      </c>
      <c r="K185" s="5" t="s">
        <v>39</v>
      </c>
      <c r="L185" s="5" t="s">
        <v>39</v>
      </c>
      <c r="M185" s="5" t="s">
        <v>106</v>
      </c>
    </row>
    <row r="186" customFormat="false" ht="21.75" hidden="false" customHeight="true" outlineLevel="0" collapsed="false">
      <c r="B186" s="2" t="s">
        <v>130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8" customFormat="false" ht="19.5" hidden="false" customHeight="true" outlineLevel="0" collapsed="false">
      <c r="B188" s="9" t="s">
        <v>131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customFormat="false" ht="21.75" hidden="false" customHeight="true" outlineLevel="0" collapsed="false">
      <c r="B189" s="2" t="s">
        <v>132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customFormat="false" ht="31.5" hidden="false" customHeight="true" outlineLevel="0" collapsed="false">
      <c r="B190" s="10" t="s">
        <v>133</v>
      </c>
      <c r="C190" s="10"/>
      <c r="D190" s="10"/>
      <c r="E190" s="10"/>
      <c r="F190" s="10" t="s">
        <v>19</v>
      </c>
      <c r="G190" s="10"/>
      <c r="H190" s="10" t="s">
        <v>134</v>
      </c>
      <c r="I190" s="10"/>
      <c r="J190" s="10" t="s">
        <v>135</v>
      </c>
      <c r="K190" s="10"/>
      <c r="L190" s="10" t="s">
        <v>136</v>
      </c>
      <c r="M190" s="10"/>
    </row>
    <row r="191" customFormat="false" ht="14.25" hidden="false" customHeight="false" outlineLevel="0" collapsed="false">
      <c r="B191" s="5" t="s">
        <v>137</v>
      </c>
      <c r="C191" s="5"/>
      <c r="D191" s="5"/>
      <c r="E191" s="5"/>
      <c r="F191" s="7" t="n">
        <v>150000</v>
      </c>
      <c r="G191" s="7"/>
      <c r="H191" s="7" t="n">
        <v>250000</v>
      </c>
      <c r="I191" s="7"/>
      <c r="J191" s="7" t="n">
        <v>150000</v>
      </c>
      <c r="K191" s="7"/>
      <c r="L191" s="7" t="n">
        <v>150000</v>
      </c>
      <c r="M191" s="7"/>
    </row>
    <row r="192" customFormat="false" ht="14.25" hidden="false" customHeight="false" outlineLevel="0" collapsed="false">
      <c r="B192" s="5" t="s">
        <v>138</v>
      </c>
      <c r="C192" s="5"/>
      <c r="D192" s="5"/>
      <c r="E192" s="5"/>
      <c r="F192" s="5" t="s">
        <v>39</v>
      </c>
      <c r="G192" s="5"/>
      <c r="H192" s="5" t="s">
        <v>39</v>
      </c>
      <c r="I192" s="5"/>
      <c r="J192" s="5" t="s">
        <v>39</v>
      </c>
      <c r="K192" s="5"/>
      <c r="L192" s="5" t="s">
        <v>39</v>
      </c>
      <c r="M192" s="5"/>
    </row>
    <row r="193" customFormat="false" ht="14.25" hidden="false" customHeight="false" outlineLevel="0" collapsed="false">
      <c r="B193" s="5" t="s">
        <v>139</v>
      </c>
      <c r="C193" s="5"/>
      <c r="D193" s="5"/>
      <c r="E193" s="5"/>
      <c r="F193" s="5" t="s">
        <v>39</v>
      </c>
      <c r="G193" s="5"/>
      <c r="H193" s="5" t="s">
        <v>39</v>
      </c>
      <c r="I193" s="5"/>
      <c r="J193" s="5" t="s">
        <v>39</v>
      </c>
      <c r="K193" s="5"/>
      <c r="L193" s="5" t="s">
        <v>39</v>
      </c>
      <c r="M193" s="5"/>
    </row>
    <row r="194" customFormat="false" ht="14.25" hidden="false" customHeight="false" outlineLevel="0" collapsed="false">
      <c r="B194" s="5" t="s">
        <v>140</v>
      </c>
      <c r="C194" s="5"/>
      <c r="D194" s="5"/>
      <c r="E194" s="5"/>
      <c r="F194" s="5" t="s">
        <v>39</v>
      </c>
      <c r="G194" s="5"/>
      <c r="H194" s="5" t="s">
        <v>39</v>
      </c>
      <c r="I194" s="5"/>
      <c r="J194" s="5" t="s">
        <v>39</v>
      </c>
      <c r="K194" s="5"/>
      <c r="L194" s="5" t="s">
        <v>39</v>
      </c>
      <c r="M194" s="5"/>
    </row>
    <row r="196" customFormat="false" ht="19.5" hidden="false" customHeight="true" outlineLevel="0" collapsed="false">
      <c r="B196" s="9" t="s">
        <v>141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customFormat="false" ht="31.5" hidden="false" customHeight="true" outlineLevel="0" collapsed="false">
      <c r="B197" s="10" t="s">
        <v>133</v>
      </c>
      <c r="C197" s="10"/>
      <c r="D197" s="10"/>
      <c r="E197" s="10"/>
      <c r="F197" s="10" t="s">
        <v>19</v>
      </c>
      <c r="G197" s="10"/>
      <c r="H197" s="10" t="s">
        <v>134</v>
      </c>
      <c r="I197" s="10"/>
      <c r="J197" s="10" t="s">
        <v>135</v>
      </c>
      <c r="K197" s="10"/>
      <c r="L197" s="10" t="s">
        <v>136</v>
      </c>
      <c r="M197" s="10"/>
    </row>
    <row r="198" customFormat="false" ht="14.25" hidden="false" customHeight="false" outlineLevel="0" collapsed="false">
      <c r="B198" s="5" t="s">
        <v>137</v>
      </c>
      <c r="C198" s="5"/>
      <c r="D198" s="5"/>
      <c r="E198" s="5"/>
      <c r="F198" s="7" t="n">
        <v>75000</v>
      </c>
      <c r="G198" s="7"/>
      <c r="H198" s="7" t="n">
        <v>250000</v>
      </c>
      <c r="I198" s="7"/>
      <c r="J198" s="7" t="n">
        <v>75000</v>
      </c>
      <c r="K198" s="7"/>
      <c r="L198" s="7" t="n">
        <v>350000</v>
      </c>
      <c r="M198" s="7"/>
    </row>
    <row r="199" customFormat="false" ht="14.25" hidden="false" customHeight="false" outlineLevel="0" collapsed="false">
      <c r="B199" s="5" t="s">
        <v>138</v>
      </c>
      <c r="C199" s="5"/>
      <c r="D199" s="5"/>
      <c r="E199" s="5"/>
      <c r="F199" s="5" t="s">
        <v>39</v>
      </c>
      <c r="G199" s="5"/>
      <c r="H199" s="5" t="s">
        <v>39</v>
      </c>
      <c r="I199" s="5"/>
      <c r="J199" s="5" t="s">
        <v>39</v>
      </c>
      <c r="K199" s="5"/>
      <c r="L199" s="5" t="s">
        <v>39</v>
      </c>
      <c r="M199" s="5"/>
    </row>
    <row r="200" customFormat="false" ht="14.25" hidden="false" customHeight="false" outlineLevel="0" collapsed="false">
      <c r="B200" s="5" t="s">
        <v>139</v>
      </c>
      <c r="C200" s="5"/>
      <c r="D200" s="5"/>
      <c r="E200" s="5"/>
      <c r="F200" s="5" t="s">
        <v>39</v>
      </c>
      <c r="G200" s="5"/>
      <c r="H200" s="5" t="s">
        <v>39</v>
      </c>
      <c r="I200" s="5"/>
      <c r="J200" s="5" t="s">
        <v>39</v>
      </c>
      <c r="K200" s="5"/>
      <c r="L200" s="5" t="s">
        <v>39</v>
      </c>
      <c r="M200" s="5"/>
    </row>
    <row r="201" customFormat="false" ht="14.25" hidden="false" customHeight="false" outlineLevel="0" collapsed="false">
      <c r="B201" s="5" t="s">
        <v>140</v>
      </c>
      <c r="C201" s="5"/>
      <c r="D201" s="5"/>
      <c r="E201" s="5"/>
      <c r="F201" s="5" t="s">
        <v>39</v>
      </c>
      <c r="G201" s="5"/>
      <c r="H201" s="5" t="s">
        <v>39</v>
      </c>
      <c r="I201" s="5"/>
      <c r="J201" s="5" t="s">
        <v>39</v>
      </c>
      <c r="K201" s="5"/>
      <c r="L201" s="5" t="s">
        <v>39</v>
      </c>
      <c r="M201" s="5"/>
    </row>
    <row r="203" customFormat="false" ht="19.5" hidden="false" customHeight="true" outlineLevel="0" collapsed="false">
      <c r="B203" s="9" t="s">
        <v>142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customFormat="false" ht="15" hidden="false" customHeight="true" outlineLevel="0" collapsed="false">
      <c r="B204" s="10" t="s">
        <v>143</v>
      </c>
      <c r="C204" s="10" t="s">
        <v>19</v>
      </c>
      <c r="D204" s="10"/>
      <c r="E204" s="10"/>
      <c r="F204" s="10"/>
      <c r="G204" s="10" t="s">
        <v>96</v>
      </c>
      <c r="H204" s="10"/>
      <c r="I204" s="10"/>
      <c r="J204" s="10"/>
      <c r="K204" s="24" t="s">
        <v>97</v>
      </c>
      <c r="L204" s="24"/>
      <c r="M204" s="24"/>
      <c r="N204" s="24"/>
    </row>
    <row r="205" customFormat="false" ht="15" hidden="false" customHeight="true" outlineLevel="0" collapsed="false">
      <c r="B205" s="10"/>
      <c r="C205" s="10" t="s">
        <v>144</v>
      </c>
      <c r="D205" s="10"/>
      <c r="E205" s="10" t="s">
        <v>95</v>
      </c>
      <c r="F205" s="10"/>
      <c r="G205" s="10" t="s">
        <v>144</v>
      </c>
      <c r="H205" s="10"/>
      <c r="I205" s="10" t="s">
        <v>95</v>
      </c>
      <c r="J205" s="10"/>
      <c r="K205" s="10" t="s">
        <v>144</v>
      </c>
      <c r="L205" s="10"/>
      <c r="M205" s="24" t="s">
        <v>95</v>
      </c>
      <c r="N205" s="24"/>
    </row>
    <row r="206" customFormat="false" ht="14.25" hidden="false" customHeight="false" outlineLevel="0" collapsed="false">
      <c r="B206" s="25" t="s">
        <v>145</v>
      </c>
      <c r="C206" s="25" t="n">
        <v>2</v>
      </c>
      <c r="D206" s="25"/>
      <c r="E206" s="26" t="n">
        <v>48.6602</v>
      </c>
      <c r="F206" s="26"/>
      <c r="G206" s="25" t="n">
        <v>9</v>
      </c>
      <c r="H206" s="25"/>
      <c r="I206" s="26" t="n">
        <v>9.3144</v>
      </c>
      <c r="J206" s="26"/>
      <c r="K206" s="25" t="n">
        <v>4</v>
      </c>
      <c r="L206" s="25"/>
      <c r="M206" s="27" t="n">
        <v>6.1689</v>
      </c>
      <c r="N206" s="27"/>
    </row>
    <row r="207" customFormat="false" ht="14.25" hidden="false" customHeight="false" outlineLevel="0" collapsed="false">
      <c r="B207" s="28" t="s">
        <v>98</v>
      </c>
      <c r="C207" s="29" t="n">
        <f aca="false">SUM(C206:D206)</f>
        <v>2</v>
      </c>
      <c r="D207" s="29"/>
      <c r="E207" s="29" t="n">
        <f aca="false">SUM(E206:F206)</f>
        <v>48.6602</v>
      </c>
      <c r="F207" s="29"/>
      <c r="G207" s="29" t="n">
        <f aca="false">SUM(G206:H206)</f>
        <v>9</v>
      </c>
      <c r="H207" s="29"/>
      <c r="I207" s="29" t="n">
        <f aca="false">SUM(I206:J206)</f>
        <v>9.3144</v>
      </c>
      <c r="J207" s="29"/>
      <c r="K207" s="29" t="n">
        <f aca="false">SUM(K206:L206)</f>
        <v>4</v>
      </c>
      <c r="L207" s="29"/>
      <c r="M207" s="30" t="n">
        <f aca="false">SUM(M206:N206)</f>
        <v>6.1689</v>
      </c>
      <c r="N207" s="30"/>
    </row>
    <row r="208" customFormat="false" ht="21.75" hidden="false" customHeight="true" outlineLevel="0" collapsed="false">
      <c r="B208" s="2" t="s">
        <v>146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10" customFormat="false" ht="19.5" hidden="false" customHeight="true" outlineLevel="0" collapsed="false">
      <c r="B210" s="9" t="s">
        <v>147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customFormat="false" ht="15" hidden="false" customHeight="true" outlineLevel="0" collapsed="false">
      <c r="B211" s="10" t="s">
        <v>143</v>
      </c>
      <c r="C211" s="10" t="s">
        <v>148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 customFormat="false" ht="15" hidden="false" customHeight="true" outlineLevel="0" collapsed="false">
      <c r="B212" s="10"/>
      <c r="C212" s="10" t="s">
        <v>149</v>
      </c>
      <c r="D212" s="10"/>
      <c r="E212" s="10"/>
      <c r="F212" s="10"/>
      <c r="G212" s="10" t="s">
        <v>150</v>
      </c>
      <c r="H212" s="10"/>
      <c r="I212" s="10"/>
      <c r="J212" s="10"/>
      <c r="K212" s="24" t="s">
        <v>151</v>
      </c>
      <c r="L212" s="24"/>
      <c r="M212" s="24"/>
      <c r="N212" s="24"/>
    </row>
    <row r="213" customFormat="false" ht="14.25" hidden="false" customHeight="false" outlineLevel="0" collapsed="false">
      <c r="B213" s="31" t="s">
        <v>145</v>
      </c>
      <c r="C213" s="31" t="n">
        <v>0</v>
      </c>
      <c r="D213" s="31"/>
      <c r="E213" s="31"/>
      <c r="F213" s="31"/>
      <c r="G213" s="31" t="n">
        <v>0</v>
      </c>
      <c r="H213" s="31"/>
      <c r="I213" s="31"/>
      <c r="J213" s="31"/>
      <c r="K213" s="32" t="n">
        <v>0</v>
      </c>
      <c r="L213" s="32"/>
      <c r="M213" s="32"/>
      <c r="N213" s="32"/>
    </row>
    <row r="214" customFormat="false" ht="14.25" hidden="false" customHeight="false" outlineLevel="0" collapsed="false">
      <c r="B214" s="33" t="s">
        <v>98</v>
      </c>
      <c r="C214" s="34" t="n">
        <f aca="false">SUM(C213:C213)</f>
        <v>0</v>
      </c>
      <c r="D214" s="34"/>
      <c r="E214" s="34"/>
      <c r="F214" s="34"/>
      <c r="G214" s="34" t="n">
        <f aca="false">SUM(G213:G213)</f>
        <v>0</v>
      </c>
      <c r="H214" s="34"/>
      <c r="I214" s="34"/>
      <c r="J214" s="34"/>
      <c r="K214" s="35" t="n">
        <f aca="false">SUM(K213:K213)</f>
        <v>0</v>
      </c>
      <c r="L214" s="35"/>
      <c r="M214" s="35"/>
      <c r="N214" s="35"/>
    </row>
    <row r="216" customFormat="false" ht="19.5" hidden="false" customHeight="true" outlineLevel="0" collapsed="false">
      <c r="B216" s="9" t="s">
        <v>152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customFormat="false" ht="31.5" hidden="false" customHeight="true" outlineLevel="0" collapsed="false">
      <c r="B217" s="10" t="s">
        <v>46</v>
      </c>
      <c r="C217" s="10"/>
      <c r="D217" s="10"/>
      <c r="E217" s="10" t="s">
        <v>153</v>
      </c>
      <c r="F217" s="10" t="s">
        <v>154</v>
      </c>
      <c r="G217" s="10" t="s">
        <v>155</v>
      </c>
      <c r="H217" s="10" t="s">
        <v>156</v>
      </c>
      <c r="I217" s="10" t="s">
        <v>157</v>
      </c>
      <c r="J217" s="10" t="s">
        <v>158</v>
      </c>
      <c r="K217" s="10" t="s">
        <v>159</v>
      </c>
      <c r="L217" s="10" t="s">
        <v>160</v>
      </c>
      <c r="M217" s="10" t="s">
        <v>161</v>
      </c>
    </row>
    <row r="218" customFormat="false" ht="14.25" hidden="false" customHeight="false" outlineLevel="0" collapsed="false">
      <c r="B218" s="5" t="s">
        <v>19</v>
      </c>
      <c r="C218" s="5"/>
      <c r="D218" s="5"/>
      <c r="E218" s="5" t="s">
        <v>39</v>
      </c>
      <c r="F218" s="5" t="s">
        <v>39</v>
      </c>
      <c r="G218" s="5" t="s">
        <v>39</v>
      </c>
      <c r="H218" s="5" t="s">
        <v>39</v>
      </c>
      <c r="I218" s="5" t="s">
        <v>39</v>
      </c>
      <c r="J218" s="5" t="s">
        <v>39</v>
      </c>
      <c r="K218" s="5" t="s">
        <v>39</v>
      </c>
      <c r="L218" s="5" t="s">
        <v>39</v>
      </c>
      <c r="M218" s="5" t="s">
        <v>39</v>
      </c>
    </row>
    <row r="219" customFormat="false" ht="14.25" hidden="false" customHeight="false" outlineLevel="0" collapsed="false">
      <c r="B219" s="5" t="s">
        <v>96</v>
      </c>
      <c r="C219" s="5"/>
      <c r="D219" s="5"/>
      <c r="E219" s="5" t="s">
        <v>39</v>
      </c>
      <c r="F219" s="5" t="s">
        <v>39</v>
      </c>
      <c r="G219" s="5" t="s">
        <v>39</v>
      </c>
      <c r="H219" s="5" t="s">
        <v>39</v>
      </c>
      <c r="I219" s="5" t="s">
        <v>39</v>
      </c>
      <c r="J219" s="5" t="s">
        <v>39</v>
      </c>
      <c r="K219" s="5" t="s">
        <v>39</v>
      </c>
      <c r="L219" s="5" t="s">
        <v>39</v>
      </c>
      <c r="M219" s="5" t="s">
        <v>39</v>
      </c>
    </row>
    <row r="220" customFormat="false" ht="14.25" hidden="false" customHeight="false" outlineLevel="0" collapsed="false">
      <c r="B220" s="5" t="s">
        <v>97</v>
      </c>
      <c r="C220" s="5"/>
      <c r="D220" s="5"/>
      <c r="E220" s="5" t="s">
        <v>39</v>
      </c>
      <c r="F220" s="5" t="s">
        <v>39</v>
      </c>
      <c r="G220" s="5" t="s">
        <v>39</v>
      </c>
      <c r="H220" s="5" t="s">
        <v>39</v>
      </c>
      <c r="I220" s="5" t="s">
        <v>39</v>
      </c>
      <c r="J220" s="5" t="s">
        <v>39</v>
      </c>
      <c r="K220" s="5" t="s">
        <v>39</v>
      </c>
      <c r="L220" s="5" t="s">
        <v>39</v>
      </c>
      <c r="M220" s="5" t="s">
        <v>39</v>
      </c>
    </row>
    <row r="223" customFormat="false" ht="25.5" hidden="false" customHeight="true" outlineLevel="0" collapsed="false">
      <c r="B223" s="3" t="s">
        <v>162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5" customFormat="false" ht="19.5" hidden="false" customHeight="true" outlineLevel="0" collapsed="false">
      <c r="B225" s="9" t="s">
        <v>163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customFormat="false" ht="14.25" hidden="false" customHeight="false" outlineLevel="0" collapsed="false">
      <c r="B226" s="4" t="s">
        <v>6</v>
      </c>
      <c r="C226" s="5" t="str">
        <f aca="false">C8</f>
        <v>AURIC/BDK/S4/P33/2024</v>
      </c>
      <c r="D226" s="5"/>
    </row>
    <row r="227" customFormat="false" ht="14.25" hidden="false" customHeight="false" outlineLevel="0" collapsed="false">
      <c r="B227" s="4" t="s">
        <v>8</v>
      </c>
      <c r="C227" s="5" t="str">
        <f aca="false">C9</f>
        <v>Shakti Auto Components Manufacturing Unit</v>
      </c>
      <c r="D227" s="5"/>
    </row>
    <row r="228" customFormat="false" ht="14.25" hidden="false" customHeight="false" outlineLevel="0" collapsed="false">
      <c r="B228" s="4" t="s">
        <v>10</v>
      </c>
      <c r="C228" s="5" t="str">
        <f aca="false">C10</f>
        <v>Mr. Rajesh Kumar Patil</v>
      </c>
      <c r="D228" s="5"/>
    </row>
    <row r="229" customFormat="false" ht="14.25" hidden="false" customHeight="false" outlineLevel="0" collapsed="false">
      <c r="B229" s="4" t="s">
        <v>164</v>
      </c>
      <c r="C229" s="5" t="str">
        <f aca="false">C16</f>
        <v>Industrial</v>
      </c>
      <c r="D229" s="5"/>
    </row>
    <row r="230" customFormat="false" ht="14.25" hidden="false" customHeight="false" outlineLevel="0" collapsed="false">
      <c r="B230" s="4" t="s">
        <v>143</v>
      </c>
      <c r="C230" s="5" t="n">
        <f aca="false">C12</f>
        <v>4</v>
      </c>
      <c r="D230" s="5"/>
    </row>
    <row r="231" customFormat="false" ht="14.25" hidden="false" customHeight="false" outlineLevel="0" collapsed="false">
      <c r="B231" s="4" t="s">
        <v>120</v>
      </c>
      <c r="C231" s="5" t="n">
        <f aca="false">C11</f>
        <v>33</v>
      </c>
      <c r="D231" s="5"/>
    </row>
    <row r="232" customFormat="false" ht="14.25" hidden="false" customHeight="false" outlineLevel="0" collapsed="false">
      <c r="B232" s="4" t="s">
        <v>14</v>
      </c>
      <c r="C232" s="6" t="n">
        <f aca="false">C13</f>
        <v>361221.510625</v>
      </c>
      <c r="D232" s="6"/>
    </row>
    <row r="233" customFormat="false" ht="14.25" hidden="false" customHeight="false" outlineLevel="0" collapsed="false">
      <c r="B233" s="4" t="s">
        <v>165</v>
      </c>
      <c r="C233" s="8" t="n">
        <v>45324</v>
      </c>
      <c r="D233" s="8"/>
    </row>
    <row r="234" customFormat="false" ht="14.25" hidden="false" customHeight="false" outlineLevel="0" collapsed="false">
      <c r="B234" s="4" t="s">
        <v>166</v>
      </c>
      <c r="C234" s="8" t="n">
        <v>45322</v>
      </c>
      <c r="D234" s="8"/>
    </row>
    <row r="236" customFormat="false" ht="19.5" hidden="false" customHeight="true" outlineLevel="0" collapsed="false">
      <c r="B236" s="9" t="s">
        <v>167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customFormat="false" ht="31.5" hidden="false" customHeight="true" outlineLevel="0" collapsed="false">
      <c r="B237" s="10" t="s">
        <v>168</v>
      </c>
      <c r="C237" s="10"/>
      <c r="D237" s="10"/>
      <c r="E237" s="10"/>
      <c r="F237" s="10"/>
      <c r="G237" s="10"/>
      <c r="H237" s="10" t="s">
        <v>169</v>
      </c>
      <c r="I237" s="10"/>
      <c r="J237" s="10"/>
      <c r="K237" s="10"/>
      <c r="L237" s="10"/>
      <c r="M237" s="10"/>
    </row>
    <row r="238" customFormat="false" ht="14.25" hidden="false" customHeight="false" outlineLevel="0" collapsed="false">
      <c r="B238" s="5" t="s">
        <v>170</v>
      </c>
      <c r="C238" s="5"/>
      <c r="D238" s="5"/>
      <c r="E238" s="5"/>
      <c r="F238" s="5"/>
      <c r="G238" s="5"/>
      <c r="H238" s="7" t="n">
        <v>250000</v>
      </c>
      <c r="I238" s="7"/>
      <c r="J238" s="7"/>
      <c r="K238" s="7"/>
      <c r="L238" s="7"/>
      <c r="M238" s="7"/>
    </row>
    <row r="239" customFormat="false" ht="14.25" hidden="false" customHeight="false" outlineLevel="0" collapsed="false">
      <c r="B239" s="5" t="s">
        <v>171</v>
      </c>
      <c r="C239" s="5"/>
      <c r="D239" s="5"/>
      <c r="E239" s="5"/>
      <c r="F239" s="5"/>
      <c r="G239" s="5"/>
      <c r="H239" s="7" t="n">
        <v>500000</v>
      </c>
      <c r="I239" s="7"/>
      <c r="J239" s="7"/>
      <c r="K239" s="7"/>
      <c r="L239" s="7"/>
      <c r="M239" s="7"/>
    </row>
    <row r="240" customFormat="false" ht="14.25" hidden="false" customHeight="false" outlineLevel="0" collapsed="false">
      <c r="B240" s="5" t="s">
        <v>172</v>
      </c>
      <c r="C240" s="5"/>
      <c r="D240" s="5"/>
      <c r="E240" s="5"/>
      <c r="F240" s="5"/>
      <c r="G240" s="5"/>
      <c r="H240" s="5" t="n">
        <v>0</v>
      </c>
      <c r="I240" s="5"/>
      <c r="J240" s="5"/>
      <c r="K240" s="5"/>
      <c r="L240" s="5"/>
      <c r="M240" s="5"/>
    </row>
    <row r="241" customFormat="false" ht="14.25" hidden="false" customHeight="false" outlineLevel="0" collapsed="false">
      <c r="B241" s="5" t="s">
        <v>173</v>
      </c>
      <c r="C241" s="5"/>
      <c r="D241" s="5"/>
      <c r="E241" s="5"/>
      <c r="F241" s="5"/>
      <c r="G241" s="5"/>
      <c r="H241" s="7" t="n">
        <v>500000</v>
      </c>
      <c r="I241" s="7"/>
      <c r="J241" s="7"/>
      <c r="K241" s="7"/>
      <c r="L241" s="7"/>
      <c r="M241" s="7"/>
    </row>
    <row r="242" customFormat="false" ht="14.25" hidden="false" customHeight="false" outlineLevel="0" collapsed="false">
      <c r="B242" s="5" t="s">
        <v>174</v>
      </c>
      <c r="C242" s="5"/>
      <c r="D242" s="5"/>
      <c r="E242" s="5"/>
      <c r="F242" s="5"/>
      <c r="G242" s="5"/>
      <c r="H242" s="7" t="n">
        <v>75000</v>
      </c>
      <c r="I242" s="7"/>
      <c r="J242" s="7"/>
      <c r="K242" s="7"/>
      <c r="L242" s="7"/>
      <c r="M242" s="7"/>
    </row>
    <row r="243" customFormat="false" ht="14.25" hidden="false" customHeight="false" outlineLevel="0" collapsed="false">
      <c r="B243" s="5" t="s">
        <v>175</v>
      </c>
      <c r="C243" s="5"/>
      <c r="D243" s="5"/>
      <c r="E243" s="5"/>
      <c r="F243" s="5"/>
      <c r="G243" s="5"/>
      <c r="H243" s="5" t="n">
        <v>0</v>
      </c>
      <c r="I243" s="5"/>
      <c r="J243" s="5"/>
      <c r="K243" s="5"/>
      <c r="L243" s="5"/>
      <c r="M243" s="5"/>
    </row>
    <row r="244" customFormat="false" ht="14.25" hidden="false" customHeight="false" outlineLevel="0" collapsed="false">
      <c r="B244" s="5" t="s">
        <v>176</v>
      </c>
      <c r="C244" s="5"/>
      <c r="D244" s="5"/>
      <c r="E244" s="5"/>
      <c r="F244" s="5"/>
      <c r="G244" s="5"/>
      <c r="H244" s="7" t="n">
        <v>75000</v>
      </c>
      <c r="I244" s="7"/>
      <c r="J244" s="7"/>
      <c r="K244" s="7"/>
      <c r="L244" s="7"/>
      <c r="M244" s="7"/>
    </row>
    <row r="245" customFormat="false" ht="14.25" hidden="false" customHeight="false" outlineLevel="0" collapsed="false">
      <c r="B245" s="5" t="s">
        <v>177</v>
      </c>
      <c r="C245" s="5"/>
      <c r="D245" s="5"/>
      <c r="E245" s="5"/>
      <c r="F245" s="5"/>
      <c r="G245" s="5"/>
      <c r="H245" s="7" t="n">
        <v>250000</v>
      </c>
      <c r="I245" s="7"/>
      <c r="J245" s="7"/>
      <c r="K245" s="7"/>
      <c r="L245" s="7"/>
      <c r="M245" s="7"/>
    </row>
    <row r="246" customFormat="false" ht="14.25" hidden="false" customHeight="false" outlineLevel="0" collapsed="false">
      <c r="B246" s="5" t="s">
        <v>178</v>
      </c>
      <c r="C246" s="5"/>
      <c r="D246" s="5"/>
      <c r="E246" s="5"/>
      <c r="F246" s="5"/>
      <c r="G246" s="5"/>
      <c r="H246" s="7" t="n">
        <v>75000</v>
      </c>
      <c r="I246" s="7"/>
      <c r="J246" s="7"/>
      <c r="K246" s="7"/>
      <c r="L246" s="7"/>
      <c r="M246" s="7"/>
    </row>
    <row r="247" customFormat="false" ht="14.25" hidden="false" customHeight="false" outlineLevel="0" collapsed="false">
      <c r="B247" s="36" t="s">
        <v>179</v>
      </c>
      <c r="C247" s="36"/>
      <c r="D247" s="36"/>
      <c r="E247" s="36"/>
      <c r="F247" s="36"/>
      <c r="G247" s="36"/>
      <c r="H247" s="37" t="n">
        <f aca="false">SUM(H238:H246)</f>
        <v>1725000</v>
      </c>
      <c r="I247" s="37"/>
      <c r="J247" s="37"/>
      <c r="K247" s="37"/>
      <c r="L247" s="37"/>
      <c r="M247" s="37"/>
    </row>
    <row r="248" customFormat="false" ht="14.25" hidden="false" customHeight="false" outlineLevel="0" collapsed="false">
      <c r="B248" s="4" t="s">
        <v>180</v>
      </c>
      <c r="C248" s="4"/>
      <c r="D248" s="4"/>
      <c r="E248" s="4"/>
      <c r="F248" s="4"/>
      <c r="G248" s="4"/>
      <c r="H248" s="38" t="n">
        <v>0</v>
      </c>
      <c r="I248" s="38"/>
      <c r="J248" s="38"/>
      <c r="K248" s="38"/>
      <c r="L248" s="38"/>
      <c r="M248" s="38"/>
    </row>
    <row r="249" customFormat="false" ht="14.25" hidden="false" customHeight="false" outlineLevel="0" collapsed="false">
      <c r="B249" s="39" t="s">
        <v>181</v>
      </c>
      <c r="C249" s="39"/>
      <c r="D249" s="39"/>
      <c r="E249" s="39"/>
      <c r="F249" s="39"/>
      <c r="G249" s="39"/>
      <c r="H249" s="40" t="n">
        <f aca="false">H247+H248</f>
        <v>1725000</v>
      </c>
      <c r="I249" s="40"/>
      <c r="J249" s="40"/>
      <c r="K249" s="40"/>
      <c r="L249" s="40"/>
      <c r="M249" s="40"/>
    </row>
    <row r="252" customFormat="false" ht="25.5" hidden="false" customHeight="true" outlineLevel="0" collapsed="false">
      <c r="B252" s="3" t="s">
        <v>182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4" customFormat="false" ht="19.5" hidden="false" customHeight="true" outlineLevel="0" collapsed="false">
      <c r="B254" s="9" t="s">
        <v>183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customFormat="false" ht="31.5" hidden="false" customHeight="true" outlineLevel="0" collapsed="false">
      <c r="B255" s="10" t="s">
        <v>48</v>
      </c>
      <c r="C255" s="10" t="s">
        <v>49</v>
      </c>
      <c r="D255" s="10"/>
      <c r="E255" s="10"/>
      <c r="F255" s="10"/>
      <c r="G255" s="10" t="s">
        <v>34</v>
      </c>
      <c r="H255" s="10"/>
      <c r="I255" s="10"/>
      <c r="J255" s="10"/>
      <c r="K255" s="10"/>
      <c r="L255" s="10"/>
      <c r="M255" s="10"/>
    </row>
    <row r="256" customFormat="false" ht="14.25" hidden="false" customHeight="false" outlineLevel="0" collapsed="false">
      <c r="B256" s="5" t="n">
        <v>1</v>
      </c>
      <c r="C256" s="5" t="s">
        <v>184</v>
      </c>
      <c r="D256" s="5"/>
      <c r="E256" s="5"/>
      <c r="F256" s="5"/>
      <c r="G256" s="5" t="s">
        <v>185</v>
      </c>
      <c r="H256" s="5"/>
      <c r="I256" s="5"/>
      <c r="J256" s="5"/>
      <c r="K256" s="5"/>
      <c r="L256" s="5"/>
      <c r="M256" s="5"/>
    </row>
    <row r="257" customFormat="false" ht="14.25" hidden="false" customHeight="false" outlineLevel="0" collapsed="false">
      <c r="B257" s="5" t="n">
        <v>2</v>
      </c>
      <c r="C257" s="5" t="s">
        <v>186</v>
      </c>
      <c r="D257" s="5"/>
      <c r="E257" s="5"/>
      <c r="F257" s="5"/>
      <c r="G257" s="5" t="s">
        <v>187</v>
      </c>
      <c r="H257" s="5"/>
      <c r="I257" s="5"/>
      <c r="J257" s="5"/>
      <c r="K257" s="5"/>
      <c r="L257" s="5"/>
      <c r="M257" s="5"/>
    </row>
    <row r="258" customFormat="false" ht="14.25" hidden="false" customHeight="false" outlineLevel="0" collapsed="false">
      <c r="B258" s="5" t="n">
        <v>3</v>
      </c>
      <c r="C258" s="5" t="s">
        <v>188</v>
      </c>
      <c r="D258" s="5"/>
      <c r="E258" s="5"/>
      <c r="F258" s="5"/>
      <c r="G258" s="5" t="s">
        <v>189</v>
      </c>
      <c r="H258" s="5"/>
      <c r="I258" s="5"/>
      <c r="J258" s="5"/>
      <c r="K258" s="5"/>
      <c r="L258" s="5"/>
      <c r="M258" s="5"/>
    </row>
    <row r="259" customFormat="false" ht="14.25" hidden="false" customHeight="false" outlineLevel="0" collapsed="false">
      <c r="B259" s="5" t="n">
        <v>4</v>
      </c>
      <c r="C259" s="5" t="s">
        <v>190</v>
      </c>
      <c r="D259" s="5"/>
      <c r="E259" s="5"/>
      <c r="F259" s="5"/>
      <c r="G259" s="5" t="s">
        <v>191</v>
      </c>
      <c r="H259" s="5"/>
      <c r="I259" s="5"/>
      <c r="J259" s="5"/>
      <c r="K259" s="5"/>
      <c r="L259" s="5"/>
      <c r="M259" s="5"/>
    </row>
    <row r="260" customFormat="false" ht="14.25" hidden="false" customHeight="false" outlineLevel="0" collapsed="false">
      <c r="B260" s="5" t="n">
        <v>5</v>
      </c>
      <c r="C260" s="5" t="s">
        <v>192</v>
      </c>
      <c r="D260" s="5"/>
      <c r="E260" s="5"/>
      <c r="F260" s="5"/>
      <c r="G260" s="5" t="s">
        <v>193</v>
      </c>
      <c r="H260" s="5"/>
      <c r="I260" s="5"/>
      <c r="J260" s="5"/>
      <c r="K260" s="5"/>
      <c r="L260" s="5"/>
      <c r="M260" s="5"/>
    </row>
    <row r="261" customFormat="false" ht="14.25" hidden="false" customHeight="false" outlineLevel="0" collapsed="false">
      <c r="B261" s="5" t="n">
        <v>6</v>
      </c>
      <c r="C261" s="5" t="s">
        <v>194</v>
      </c>
      <c r="D261" s="5"/>
      <c r="E261" s="5"/>
      <c r="F261" s="5"/>
      <c r="G261" s="5" t="s">
        <v>195</v>
      </c>
      <c r="H261" s="5"/>
      <c r="I261" s="5"/>
      <c r="J261" s="5"/>
      <c r="K261" s="5"/>
      <c r="L261" s="5"/>
      <c r="M261" s="5"/>
    </row>
    <row r="263" customFormat="false" ht="19.5" hidden="false" customHeight="true" outlineLevel="0" collapsed="false">
      <c r="B263" s="9" t="s">
        <v>196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customFormat="false" ht="31.5" hidden="false" customHeight="true" outlineLevel="0" collapsed="false">
      <c r="B264" s="10" t="s">
        <v>197</v>
      </c>
      <c r="C264" s="10"/>
      <c r="D264" s="10"/>
      <c r="E264" s="10"/>
      <c r="F264" s="10"/>
      <c r="G264" s="10"/>
      <c r="H264" s="10"/>
      <c r="I264" s="10"/>
      <c r="J264" s="10" t="s">
        <v>169</v>
      </c>
      <c r="K264" s="10"/>
      <c r="L264" s="10"/>
      <c r="M264" s="10"/>
    </row>
    <row r="265" customFormat="false" ht="14.25" hidden="false" customHeight="false" outlineLevel="0" collapsed="false">
      <c r="B265" s="5" t="s">
        <v>198</v>
      </c>
      <c r="C265" s="5"/>
      <c r="D265" s="5"/>
      <c r="E265" s="5"/>
      <c r="F265" s="5"/>
      <c r="G265" s="5"/>
      <c r="H265" s="5"/>
      <c r="I265" s="5"/>
      <c r="J265" s="7" t="n">
        <v>500000</v>
      </c>
      <c r="K265" s="7"/>
      <c r="L265" s="7"/>
      <c r="M265" s="7"/>
    </row>
    <row r="266" customFormat="false" ht="14.25" hidden="false" customHeight="false" outlineLevel="0" collapsed="false">
      <c r="B266" s="5" t="s">
        <v>199</v>
      </c>
      <c r="C266" s="5"/>
      <c r="D266" s="5"/>
      <c r="E266" s="5"/>
      <c r="F266" s="5"/>
      <c r="G266" s="5"/>
      <c r="H266" s="5"/>
      <c r="I266" s="5"/>
      <c r="J266" s="7" t="n">
        <v>150000</v>
      </c>
      <c r="K266" s="7"/>
      <c r="L266" s="7"/>
      <c r="M266" s="7"/>
    </row>
    <row r="267" customFormat="false" ht="14.25" hidden="false" customHeight="false" outlineLevel="0" collapsed="false">
      <c r="B267" s="5" t="s">
        <v>200</v>
      </c>
      <c r="C267" s="5"/>
      <c r="D267" s="5"/>
      <c r="E267" s="5"/>
      <c r="F267" s="5"/>
      <c r="G267" s="5"/>
      <c r="H267" s="5"/>
      <c r="I267" s="5"/>
      <c r="J267" s="7" t="n">
        <v>150000</v>
      </c>
      <c r="K267" s="7"/>
      <c r="L267" s="7"/>
      <c r="M267" s="7"/>
    </row>
    <row r="268" customFormat="false" ht="14.25" hidden="false" customHeight="false" outlineLevel="0" collapsed="false">
      <c r="B268" s="5" t="s">
        <v>201</v>
      </c>
      <c r="C268" s="5"/>
      <c r="D268" s="5"/>
      <c r="E268" s="5"/>
      <c r="F268" s="5"/>
      <c r="G268" s="5"/>
      <c r="H268" s="5"/>
      <c r="I268" s="5"/>
      <c r="J268" s="7" t="n">
        <v>150000</v>
      </c>
      <c r="K268" s="7"/>
      <c r="L268" s="7"/>
      <c r="M268" s="7"/>
    </row>
    <row r="269" customFormat="false" ht="14.25" hidden="false" customHeight="false" outlineLevel="0" collapsed="false">
      <c r="B269" s="5" t="s">
        <v>202</v>
      </c>
      <c r="C269" s="5"/>
      <c r="D269" s="5"/>
      <c r="E269" s="5"/>
      <c r="F269" s="5"/>
      <c r="G269" s="5"/>
      <c r="H269" s="5"/>
      <c r="I269" s="5"/>
      <c r="J269" s="38" t="n">
        <v>0</v>
      </c>
      <c r="K269" s="38"/>
      <c r="L269" s="38"/>
      <c r="M269" s="38"/>
    </row>
    <row r="270" customFormat="false" ht="14.25" hidden="false" customHeight="false" outlineLevel="0" collapsed="false">
      <c r="B270" s="36" t="s">
        <v>98</v>
      </c>
      <c r="C270" s="36"/>
      <c r="D270" s="36"/>
      <c r="E270" s="36"/>
      <c r="F270" s="36"/>
      <c r="G270" s="36"/>
      <c r="H270" s="36"/>
      <c r="I270" s="36"/>
      <c r="J270" s="37" t="n">
        <f aca="false">SUM(J265:J269)</f>
        <v>950000</v>
      </c>
      <c r="K270" s="37"/>
      <c r="L270" s="37"/>
      <c r="M270" s="37"/>
    </row>
    <row r="272" customFormat="false" ht="19.5" hidden="false" customHeight="true" outlineLevel="0" collapsed="false">
      <c r="B272" s="9" t="s">
        <v>203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customFormat="false" ht="14.25" hidden="false" customHeight="false" outlineLevel="0" collapsed="false">
      <c r="B273" s="4" t="s">
        <v>204</v>
      </c>
      <c r="C273" s="5" t="s">
        <v>205</v>
      </c>
      <c r="D273" s="5"/>
    </row>
    <row r="274" customFormat="false" ht="14.25" hidden="false" customHeight="false" outlineLevel="0" collapsed="false">
      <c r="B274" s="4" t="s">
        <v>206</v>
      </c>
      <c r="C274" s="5" t="s">
        <v>207</v>
      </c>
      <c r="D274" s="5"/>
    </row>
    <row r="275" customFormat="false" ht="14.25" hidden="false" customHeight="false" outlineLevel="0" collapsed="false">
      <c r="B275" s="4" t="s">
        <v>208</v>
      </c>
      <c r="C275" s="5" t="s">
        <v>205</v>
      </c>
      <c r="D275" s="5"/>
    </row>
    <row r="276" customFormat="false" ht="14.25" hidden="false" customHeight="false" outlineLevel="0" collapsed="false">
      <c r="B276" s="4" t="s">
        <v>209</v>
      </c>
      <c r="C276" s="5" t="s">
        <v>207</v>
      </c>
      <c r="D276" s="5"/>
    </row>
    <row r="278" customFormat="false" ht="19.5" hidden="false" customHeight="true" outlineLevel="0" collapsed="false">
      <c r="B278" s="9" t="s">
        <v>210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customFormat="false" ht="31.5" hidden="false" customHeight="true" outlineLevel="0" collapsed="false">
      <c r="B279" s="10" t="s">
        <v>211</v>
      </c>
      <c r="C279" s="10"/>
      <c r="D279" s="10"/>
      <c r="E279" s="10"/>
      <c r="F279" s="10"/>
      <c r="G279" s="10"/>
      <c r="H279" s="10"/>
      <c r="I279" s="10"/>
      <c r="J279" s="10" t="s">
        <v>169</v>
      </c>
      <c r="K279" s="10"/>
      <c r="L279" s="10"/>
      <c r="M279" s="10"/>
    </row>
    <row r="280" customFormat="false" ht="14.25" hidden="false" customHeight="false" outlineLevel="0" collapsed="false">
      <c r="B280" s="5" t="s">
        <v>212</v>
      </c>
      <c r="C280" s="5"/>
      <c r="D280" s="5"/>
      <c r="E280" s="5"/>
      <c r="F280" s="5"/>
      <c r="G280" s="5"/>
      <c r="H280" s="5"/>
      <c r="I280" s="5"/>
      <c r="J280" s="7" t="n">
        <v>75000</v>
      </c>
      <c r="K280" s="7"/>
      <c r="L280" s="7"/>
      <c r="M280" s="7"/>
    </row>
    <row r="281" customFormat="false" ht="14.25" hidden="false" customHeight="false" outlineLevel="0" collapsed="false">
      <c r="B281" s="5" t="s">
        <v>153</v>
      </c>
      <c r="C281" s="5"/>
      <c r="D281" s="5"/>
      <c r="E281" s="5"/>
      <c r="F281" s="5"/>
      <c r="G281" s="5"/>
      <c r="H281" s="5"/>
      <c r="I281" s="5"/>
      <c r="J281" s="7" t="n">
        <v>350000</v>
      </c>
      <c r="K281" s="7"/>
      <c r="L281" s="7"/>
      <c r="M281" s="7"/>
    </row>
    <row r="282" customFormat="false" ht="14.25" hidden="false" customHeight="false" outlineLevel="0" collapsed="false">
      <c r="B282" s="5" t="s">
        <v>154</v>
      </c>
      <c r="C282" s="5"/>
      <c r="D282" s="5"/>
      <c r="E282" s="5"/>
      <c r="F282" s="5"/>
      <c r="G282" s="5"/>
      <c r="H282" s="5"/>
      <c r="I282" s="5"/>
      <c r="J282" s="7" t="n">
        <v>500000</v>
      </c>
      <c r="K282" s="7"/>
      <c r="L282" s="7"/>
      <c r="M282" s="7"/>
    </row>
    <row r="283" customFormat="false" ht="14.25" hidden="false" customHeight="false" outlineLevel="0" collapsed="false">
      <c r="B283" s="5" t="s">
        <v>155</v>
      </c>
      <c r="C283" s="5"/>
      <c r="D283" s="5"/>
      <c r="E283" s="5"/>
      <c r="F283" s="5"/>
      <c r="G283" s="5"/>
      <c r="H283" s="5"/>
      <c r="I283" s="5"/>
      <c r="J283" s="7" t="n">
        <v>350000</v>
      </c>
      <c r="K283" s="7"/>
      <c r="L283" s="7"/>
      <c r="M283" s="7"/>
    </row>
    <row r="284" customFormat="false" ht="14.25" hidden="false" customHeight="false" outlineLevel="0" collapsed="false">
      <c r="B284" s="5" t="s">
        <v>156</v>
      </c>
      <c r="C284" s="5"/>
      <c r="D284" s="5"/>
      <c r="E284" s="5"/>
      <c r="F284" s="5"/>
      <c r="G284" s="5"/>
      <c r="H284" s="5"/>
      <c r="I284" s="5"/>
      <c r="J284" s="7" t="n">
        <v>75000</v>
      </c>
      <c r="K284" s="7"/>
      <c r="L284" s="7"/>
      <c r="M284" s="7"/>
    </row>
    <row r="285" customFormat="false" ht="14.25" hidden="false" customHeight="false" outlineLevel="0" collapsed="false">
      <c r="B285" s="5" t="s">
        <v>157</v>
      </c>
      <c r="C285" s="5"/>
      <c r="D285" s="5"/>
      <c r="E285" s="5"/>
      <c r="F285" s="5"/>
      <c r="G285" s="5"/>
      <c r="H285" s="5"/>
      <c r="I285" s="5"/>
      <c r="J285" s="7" t="n">
        <v>125000</v>
      </c>
      <c r="K285" s="7"/>
      <c r="L285" s="7"/>
      <c r="M285" s="7"/>
    </row>
    <row r="286" customFormat="false" ht="14.25" hidden="false" customHeight="false" outlineLevel="0" collapsed="false">
      <c r="B286" s="5" t="s">
        <v>158</v>
      </c>
      <c r="C286" s="5"/>
      <c r="D286" s="5"/>
      <c r="E286" s="5"/>
      <c r="F286" s="5"/>
      <c r="G286" s="5"/>
      <c r="H286" s="5"/>
      <c r="I286" s="5"/>
      <c r="J286" s="38" t="n">
        <v>0</v>
      </c>
      <c r="K286" s="38"/>
      <c r="L286" s="38"/>
      <c r="M286" s="38"/>
    </row>
    <row r="287" customFormat="false" ht="14.25" hidden="false" customHeight="false" outlineLevel="0" collapsed="false">
      <c r="B287" s="5" t="s">
        <v>194</v>
      </c>
      <c r="C287" s="5"/>
      <c r="D287" s="5"/>
      <c r="E287" s="5"/>
      <c r="F287" s="5"/>
      <c r="G287" s="5"/>
      <c r="H287" s="5"/>
      <c r="I287" s="5"/>
      <c r="J287" s="7" t="n">
        <v>1000000</v>
      </c>
      <c r="K287" s="7"/>
      <c r="L287" s="7"/>
      <c r="M287" s="7"/>
    </row>
    <row r="288" customFormat="false" ht="14.25" hidden="false" customHeight="false" outlineLevel="0" collapsed="false">
      <c r="B288" s="36" t="s">
        <v>98</v>
      </c>
      <c r="C288" s="36"/>
      <c r="D288" s="36"/>
      <c r="E288" s="36"/>
      <c r="F288" s="36"/>
      <c r="G288" s="36"/>
      <c r="H288" s="36"/>
      <c r="I288" s="36"/>
      <c r="J288" s="37" t="n">
        <f aca="false">SUM(J280:J287)</f>
        <v>2475000</v>
      </c>
      <c r="K288" s="37"/>
      <c r="L288" s="37"/>
      <c r="M288" s="37"/>
    </row>
    <row r="290" customFormat="false" ht="19.5" hidden="false" customHeight="true" outlineLevel="0" collapsed="false">
      <c r="B290" s="9" t="s">
        <v>213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customFormat="false" ht="31.5" hidden="false" customHeight="true" outlineLevel="0" collapsed="false">
      <c r="B291" s="10" t="s">
        <v>197</v>
      </c>
      <c r="C291" s="10"/>
      <c r="D291" s="10"/>
      <c r="E291" s="10"/>
      <c r="F291" s="10"/>
      <c r="G291" s="10"/>
      <c r="H291" s="10"/>
      <c r="I291" s="10"/>
      <c r="J291" s="10" t="s">
        <v>169</v>
      </c>
      <c r="K291" s="10"/>
      <c r="L291" s="10"/>
      <c r="M291" s="10"/>
    </row>
    <row r="292" customFormat="false" ht="14.25" hidden="false" customHeight="false" outlineLevel="0" collapsed="false">
      <c r="B292" s="5" t="s">
        <v>214</v>
      </c>
      <c r="C292" s="5"/>
      <c r="D292" s="5"/>
      <c r="E292" s="5"/>
      <c r="F292" s="5"/>
      <c r="G292" s="5"/>
      <c r="H292" s="5"/>
      <c r="I292" s="5"/>
      <c r="J292" s="7" t="n">
        <v>1000000</v>
      </c>
      <c r="K292" s="7"/>
      <c r="L292" s="7"/>
      <c r="M292" s="7"/>
    </row>
    <row r="293" customFormat="false" ht="14.25" hidden="false" customHeight="false" outlineLevel="0" collapsed="false">
      <c r="B293" s="5" t="s">
        <v>215</v>
      </c>
      <c r="C293" s="5"/>
      <c r="D293" s="5"/>
      <c r="E293" s="5"/>
      <c r="F293" s="5"/>
      <c r="G293" s="5"/>
      <c r="H293" s="5"/>
      <c r="I293" s="5"/>
      <c r="J293" s="7" t="n">
        <v>250000</v>
      </c>
      <c r="K293" s="7"/>
      <c r="L293" s="7"/>
      <c r="M293" s="7"/>
    </row>
    <row r="294" customFormat="false" ht="14.25" hidden="false" customHeight="false" outlineLevel="0" collapsed="false">
      <c r="B294" s="5" t="s">
        <v>216</v>
      </c>
      <c r="C294" s="5"/>
      <c r="D294" s="5"/>
      <c r="E294" s="5"/>
      <c r="F294" s="5"/>
      <c r="G294" s="5"/>
      <c r="H294" s="5"/>
      <c r="I294" s="5"/>
      <c r="J294" s="7" t="n">
        <v>1000000</v>
      </c>
      <c r="K294" s="7"/>
      <c r="L294" s="7"/>
      <c r="M294" s="7"/>
    </row>
    <row r="295" customFormat="false" ht="14.25" hidden="false" customHeight="false" outlineLevel="0" collapsed="false">
      <c r="B295" s="5" t="s">
        <v>217</v>
      </c>
      <c r="C295" s="5"/>
      <c r="D295" s="5"/>
      <c r="E295" s="5"/>
      <c r="F295" s="5"/>
      <c r="G295" s="5"/>
      <c r="H295" s="5"/>
      <c r="I295" s="5"/>
      <c r="J295" s="7" t="n">
        <v>1000000</v>
      </c>
      <c r="K295" s="7"/>
      <c r="L295" s="7"/>
      <c r="M295" s="7"/>
    </row>
    <row r="296" customFormat="false" ht="14.25" hidden="false" customHeight="false" outlineLevel="0" collapsed="false">
      <c r="B296" s="36" t="s">
        <v>98</v>
      </c>
      <c r="C296" s="36"/>
      <c r="D296" s="36"/>
      <c r="E296" s="36"/>
      <c r="F296" s="36"/>
      <c r="G296" s="36"/>
      <c r="H296" s="36"/>
      <c r="I296" s="36"/>
      <c r="J296" s="37" t="n">
        <f aca="false">SUM(J292:J295)</f>
        <v>3250000</v>
      </c>
      <c r="K296" s="37"/>
      <c r="L296" s="37"/>
      <c r="M296" s="37"/>
    </row>
    <row r="298" customFormat="false" ht="19.5" hidden="false" customHeight="true" outlineLevel="0" collapsed="false">
      <c r="B298" s="9" t="s">
        <v>218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customFormat="false" ht="31.5" hidden="false" customHeight="true" outlineLevel="0" collapsed="false">
      <c r="B299" s="10" t="s">
        <v>211</v>
      </c>
      <c r="C299" s="10"/>
      <c r="D299" s="10"/>
      <c r="E299" s="10"/>
      <c r="F299" s="10"/>
      <c r="G299" s="10"/>
      <c r="H299" s="10"/>
      <c r="I299" s="10"/>
      <c r="J299" s="10" t="s">
        <v>169</v>
      </c>
      <c r="K299" s="10"/>
      <c r="L299" s="10"/>
      <c r="M299" s="10"/>
    </row>
    <row r="300" customFormat="false" ht="14.25" hidden="false" customHeight="false" outlineLevel="0" collapsed="false">
      <c r="B300" s="5" t="s">
        <v>219</v>
      </c>
      <c r="C300" s="5"/>
      <c r="D300" s="5"/>
      <c r="E300" s="5"/>
      <c r="F300" s="5"/>
      <c r="G300" s="5"/>
      <c r="H300" s="5"/>
      <c r="I300" s="5"/>
      <c r="J300" s="7" t="n">
        <v>500000</v>
      </c>
      <c r="K300" s="7"/>
      <c r="L300" s="7"/>
      <c r="M300" s="7"/>
    </row>
    <row r="301" customFormat="false" ht="14.25" hidden="false" customHeight="false" outlineLevel="0" collapsed="false">
      <c r="B301" s="5" t="s">
        <v>220</v>
      </c>
      <c r="C301" s="5"/>
      <c r="D301" s="5"/>
      <c r="E301" s="5"/>
      <c r="F301" s="5"/>
      <c r="G301" s="5"/>
      <c r="H301" s="5"/>
      <c r="I301" s="5"/>
      <c r="J301" s="7" t="n">
        <v>150000</v>
      </c>
      <c r="K301" s="7"/>
      <c r="L301" s="7"/>
      <c r="M301" s="7"/>
    </row>
    <row r="302" customFormat="false" ht="14.25" hidden="false" customHeight="false" outlineLevel="0" collapsed="false">
      <c r="B302" s="36" t="s">
        <v>98</v>
      </c>
      <c r="C302" s="36"/>
      <c r="D302" s="36"/>
      <c r="E302" s="36"/>
      <c r="F302" s="36"/>
      <c r="G302" s="36"/>
      <c r="H302" s="36"/>
      <c r="I302" s="36"/>
      <c r="J302" s="37" t="n">
        <f aca="false">SUM(J300:J301)</f>
        <v>650000</v>
      </c>
      <c r="K302" s="37"/>
      <c r="L302" s="37"/>
      <c r="M302" s="37"/>
    </row>
    <row r="304" customFormat="false" ht="19.5" hidden="false" customHeight="true" outlineLevel="0" collapsed="false">
      <c r="B304" s="9" t="s">
        <v>221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customFormat="false" ht="31.5" hidden="false" customHeight="true" outlineLevel="0" collapsed="false">
      <c r="B305" s="10" t="s">
        <v>211</v>
      </c>
      <c r="C305" s="10"/>
      <c r="D305" s="10"/>
      <c r="E305" s="10"/>
      <c r="F305" s="10"/>
      <c r="G305" s="10"/>
      <c r="H305" s="10"/>
      <c r="I305" s="10"/>
      <c r="J305" s="10" t="s">
        <v>169</v>
      </c>
      <c r="K305" s="10"/>
      <c r="L305" s="10"/>
      <c r="M305" s="10"/>
    </row>
    <row r="306" customFormat="false" ht="14.25" hidden="false" customHeight="false" outlineLevel="0" collapsed="false">
      <c r="B306" s="5" t="s">
        <v>222</v>
      </c>
      <c r="C306" s="5"/>
      <c r="D306" s="5"/>
      <c r="E306" s="5"/>
      <c r="F306" s="5"/>
      <c r="G306" s="5"/>
      <c r="H306" s="5"/>
      <c r="I306" s="5"/>
      <c r="J306" s="7" t="n">
        <v>350000</v>
      </c>
      <c r="K306" s="7"/>
      <c r="L306" s="7"/>
      <c r="M306" s="7"/>
    </row>
    <row r="307" customFormat="false" ht="14.25" hidden="false" customHeight="false" outlineLevel="0" collapsed="false">
      <c r="B307" s="36" t="s">
        <v>98</v>
      </c>
      <c r="C307" s="36"/>
      <c r="D307" s="36"/>
      <c r="E307" s="36"/>
      <c r="F307" s="36"/>
      <c r="G307" s="36"/>
      <c r="H307" s="36"/>
      <c r="I307" s="36"/>
      <c r="J307" s="37" t="n">
        <f aca="false">SUM(J306:J306)</f>
        <v>350000</v>
      </c>
      <c r="K307" s="37"/>
      <c r="L307" s="37"/>
      <c r="M307" s="37"/>
    </row>
    <row r="309" customFormat="false" ht="25.5" hidden="false" customHeight="true" outlineLevel="0" collapsed="false">
      <c r="B309" s="3" t="s">
        <v>223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1" customFormat="false" ht="19.5" hidden="false" customHeight="true" outlineLevel="0" collapsed="false">
      <c r="B311" s="9" t="s">
        <v>224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customFormat="false" ht="31.5" hidden="false" customHeight="true" outlineLevel="0" collapsed="false">
      <c r="B312" s="10" t="s">
        <v>225</v>
      </c>
      <c r="C312" s="10"/>
      <c r="D312" s="10"/>
      <c r="E312" s="10" t="s">
        <v>226</v>
      </c>
      <c r="F312" s="10"/>
      <c r="G312" s="10"/>
      <c r="H312" s="10"/>
      <c r="I312" s="10" t="s">
        <v>36</v>
      </c>
      <c r="J312" s="10"/>
      <c r="K312" s="10" t="s">
        <v>169</v>
      </c>
      <c r="L312" s="10" t="s">
        <v>227</v>
      </c>
      <c r="M312" s="10"/>
    </row>
    <row r="313" customFormat="false" ht="14.25" hidden="false" customHeight="false" outlineLevel="0" collapsed="false">
      <c r="B313" s="5" t="s">
        <v>4</v>
      </c>
      <c r="C313" s="5"/>
      <c r="D313" s="5"/>
      <c r="E313" s="5" t="str">
        <f aca="false">C16</f>
        <v>Industrial</v>
      </c>
      <c r="F313" s="5"/>
      <c r="G313" s="5"/>
      <c r="H313" s="5"/>
      <c r="I313" s="5" t="s">
        <v>39</v>
      </c>
      <c r="J313" s="5"/>
      <c r="K313" s="5" t="n">
        <v>0</v>
      </c>
      <c r="L313" s="5" t="s">
        <v>39</v>
      </c>
      <c r="M313" s="5"/>
    </row>
    <row r="314" customFormat="false" ht="21.75" hidden="false" customHeight="true" outlineLevel="0" collapsed="false">
      <c r="B314" s="2" t="s">
        <v>228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7" customFormat="false" ht="25.5" hidden="false" customHeight="true" outlineLevel="0" collapsed="false">
      <c r="B317" s="3" t="s">
        <v>229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9" customFormat="false" ht="21.75" hidden="false" customHeight="true" outlineLevel="0" collapsed="false">
      <c r="B319" s="2" t="s">
        <v>230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</sheetData>
  <mergeCells count="503">
    <mergeCell ref="B1:M1"/>
    <mergeCell ref="B2:M2"/>
    <mergeCell ref="B4:M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B24:M24"/>
    <mergeCell ref="B26:M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B39:M39"/>
    <mergeCell ref="C40:D40"/>
    <mergeCell ref="C41:D41"/>
    <mergeCell ref="C42:D42"/>
    <mergeCell ref="C43:D43"/>
    <mergeCell ref="B45:M45"/>
    <mergeCell ref="C46:I46"/>
    <mergeCell ref="J46:K46"/>
    <mergeCell ref="L46:M46"/>
    <mergeCell ref="C47:I47"/>
    <mergeCell ref="J47:K47"/>
    <mergeCell ref="L47:M47"/>
    <mergeCell ref="C48:I48"/>
    <mergeCell ref="J48:K48"/>
    <mergeCell ref="L48:M48"/>
    <mergeCell ref="B50:M50"/>
    <mergeCell ref="C51:D51"/>
    <mergeCell ref="C52:D52"/>
    <mergeCell ref="C53:D53"/>
    <mergeCell ref="C54:D54"/>
    <mergeCell ref="B56:M56"/>
    <mergeCell ref="C57:F57"/>
    <mergeCell ref="G57:M57"/>
    <mergeCell ref="C58:F58"/>
    <mergeCell ref="G58:M58"/>
    <mergeCell ref="C59:F59"/>
    <mergeCell ref="G59:M59"/>
    <mergeCell ref="C60:F60"/>
    <mergeCell ref="G60:M60"/>
    <mergeCell ref="C61:F61"/>
    <mergeCell ref="G61:M61"/>
    <mergeCell ref="C62:F62"/>
    <mergeCell ref="G62:M62"/>
    <mergeCell ref="C63:F63"/>
    <mergeCell ref="G63:M63"/>
    <mergeCell ref="B65:M65"/>
    <mergeCell ref="B66:D66"/>
    <mergeCell ref="E66:M66"/>
    <mergeCell ref="B67:D67"/>
    <mergeCell ref="E67:M67"/>
    <mergeCell ref="B68:D68"/>
    <mergeCell ref="E68:M68"/>
    <mergeCell ref="B69:D69"/>
    <mergeCell ref="E69:M69"/>
    <mergeCell ref="B70:D70"/>
    <mergeCell ref="E70:M70"/>
    <mergeCell ref="B72:M72"/>
    <mergeCell ref="B73:E73"/>
    <mergeCell ref="F73:G73"/>
    <mergeCell ref="H73:I73"/>
    <mergeCell ref="J73:K73"/>
    <mergeCell ref="L73:M73"/>
    <mergeCell ref="B74:E74"/>
    <mergeCell ref="F74:G74"/>
    <mergeCell ref="H74:I74"/>
    <mergeCell ref="J74:K74"/>
    <mergeCell ref="L74:M74"/>
    <mergeCell ref="B75:E75"/>
    <mergeCell ref="F75:G75"/>
    <mergeCell ref="H75:I75"/>
    <mergeCell ref="J75:K75"/>
    <mergeCell ref="L75:M75"/>
    <mergeCell ref="B76:E76"/>
    <mergeCell ref="F76:G76"/>
    <mergeCell ref="H76:I76"/>
    <mergeCell ref="J76:K76"/>
    <mergeCell ref="L76:M76"/>
    <mergeCell ref="B78:M78"/>
    <mergeCell ref="C79:D79"/>
    <mergeCell ref="C80:D80"/>
    <mergeCell ref="C81:D81"/>
    <mergeCell ref="C82:D82"/>
    <mergeCell ref="C83:D83"/>
    <mergeCell ref="C84:D84"/>
    <mergeCell ref="C85:D85"/>
    <mergeCell ref="B87:M87"/>
    <mergeCell ref="C88:D88"/>
    <mergeCell ref="C89:D89"/>
    <mergeCell ref="C90:D90"/>
    <mergeCell ref="C91:D91"/>
    <mergeCell ref="C92:D92"/>
    <mergeCell ref="C93:D93"/>
    <mergeCell ref="C94:D94"/>
    <mergeCell ref="B96:M96"/>
    <mergeCell ref="C97:D97"/>
    <mergeCell ref="C98:D98"/>
    <mergeCell ref="C99:D99"/>
    <mergeCell ref="C100:D100"/>
    <mergeCell ref="C101:D101"/>
    <mergeCell ref="B103:M103"/>
    <mergeCell ref="B104:M104"/>
    <mergeCell ref="B107:M107"/>
    <mergeCell ref="B109:M109"/>
    <mergeCell ref="B110:M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B120:M120"/>
    <mergeCell ref="C121:G121"/>
    <mergeCell ref="H121:J121"/>
    <mergeCell ref="K121:M121"/>
    <mergeCell ref="C122:G122"/>
    <mergeCell ref="H122:J122"/>
    <mergeCell ref="K122:M122"/>
    <mergeCell ref="C123:G123"/>
    <mergeCell ref="H123:J123"/>
    <mergeCell ref="K123:M123"/>
    <mergeCell ref="C124:G124"/>
    <mergeCell ref="H124:J124"/>
    <mergeCell ref="K124:M124"/>
    <mergeCell ref="C125:G125"/>
    <mergeCell ref="H125:J125"/>
    <mergeCell ref="K125:M125"/>
    <mergeCell ref="B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4:C144"/>
    <mergeCell ref="D144:E144"/>
    <mergeCell ref="F144:G144"/>
    <mergeCell ref="H144:I144"/>
    <mergeCell ref="J144:K144"/>
    <mergeCell ref="L144:M144"/>
    <mergeCell ref="B146:M146"/>
    <mergeCell ref="B147:D147"/>
    <mergeCell ref="E147:F147"/>
    <mergeCell ref="G147:H147"/>
    <mergeCell ref="I147:M147"/>
    <mergeCell ref="B148:D148"/>
    <mergeCell ref="E148:F148"/>
    <mergeCell ref="G148:H148"/>
    <mergeCell ref="I148:M148"/>
    <mergeCell ref="B149:D149"/>
    <mergeCell ref="E149:F149"/>
    <mergeCell ref="G149:H149"/>
    <mergeCell ref="I149:M149"/>
    <mergeCell ref="B150:D150"/>
    <mergeCell ref="E150:F150"/>
    <mergeCell ref="G150:H150"/>
    <mergeCell ref="I150:M150"/>
    <mergeCell ref="B151:D151"/>
    <mergeCell ref="E151:F151"/>
    <mergeCell ref="G151:H151"/>
    <mergeCell ref="I151:M151"/>
    <mergeCell ref="B169:M169"/>
    <mergeCell ref="B186:M186"/>
    <mergeCell ref="B188:M188"/>
    <mergeCell ref="B189:M189"/>
    <mergeCell ref="B190:E190"/>
    <mergeCell ref="F190:G190"/>
    <mergeCell ref="H190:I190"/>
    <mergeCell ref="J190:K190"/>
    <mergeCell ref="L190:M190"/>
    <mergeCell ref="B191:E191"/>
    <mergeCell ref="F191:G191"/>
    <mergeCell ref="H191:I191"/>
    <mergeCell ref="J191:K191"/>
    <mergeCell ref="L191:M191"/>
    <mergeCell ref="B192:E192"/>
    <mergeCell ref="F192:G192"/>
    <mergeCell ref="H192:I192"/>
    <mergeCell ref="J192:K192"/>
    <mergeCell ref="L192:M192"/>
    <mergeCell ref="B193:E193"/>
    <mergeCell ref="F193:G193"/>
    <mergeCell ref="H193:I193"/>
    <mergeCell ref="J193:K193"/>
    <mergeCell ref="L193:M193"/>
    <mergeCell ref="B194:E194"/>
    <mergeCell ref="F194:G194"/>
    <mergeCell ref="H194:I194"/>
    <mergeCell ref="J194:K194"/>
    <mergeCell ref="L194:M194"/>
    <mergeCell ref="B196:M196"/>
    <mergeCell ref="B197:E197"/>
    <mergeCell ref="F197:G197"/>
    <mergeCell ref="H197:I197"/>
    <mergeCell ref="J197:K197"/>
    <mergeCell ref="L197:M197"/>
    <mergeCell ref="B198:E198"/>
    <mergeCell ref="F198:G198"/>
    <mergeCell ref="H198:I198"/>
    <mergeCell ref="J198:K198"/>
    <mergeCell ref="L198:M198"/>
    <mergeCell ref="B199:E199"/>
    <mergeCell ref="F199:G199"/>
    <mergeCell ref="H199:I199"/>
    <mergeCell ref="J199:K199"/>
    <mergeCell ref="L199:M199"/>
    <mergeCell ref="B200:E200"/>
    <mergeCell ref="F200:G200"/>
    <mergeCell ref="H200:I200"/>
    <mergeCell ref="J200:K200"/>
    <mergeCell ref="L200:M200"/>
    <mergeCell ref="B201:E201"/>
    <mergeCell ref="F201:G201"/>
    <mergeCell ref="H201:I201"/>
    <mergeCell ref="J201:K201"/>
    <mergeCell ref="L201:M201"/>
    <mergeCell ref="B203:M203"/>
    <mergeCell ref="B204:B205"/>
    <mergeCell ref="C204:F204"/>
    <mergeCell ref="G204:J204"/>
    <mergeCell ref="K204:N204"/>
    <mergeCell ref="C205:D205"/>
    <mergeCell ref="E205:F205"/>
    <mergeCell ref="G205:H205"/>
    <mergeCell ref="I205:J205"/>
    <mergeCell ref="K205:L205"/>
    <mergeCell ref="M205:N205"/>
    <mergeCell ref="C206:D206"/>
    <mergeCell ref="E206:F206"/>
    <mergeCell ref="G206:H206"/>
    <mergeCell ref="I206:J206"/>
    <mergeCell ref="K206:L206"/>
    <mergeCell ref="M206:N206"/>
    <mergeCell ref="C207:D207"/>
    <mergeCell ref="E207:F207"/>
    <mergeCell ref="G207:H207"/>
    <mergeCell ref="I207:J207"/>
    <mergeCell ref="K207:L207"/>
    <mergeCell ref="M207:N207"/>
    <mergeCell ref="B208:M208"/>
    <mergeCell ref="B210:M210"/>
    <mergeCell ref="B211:B212"/>
    <mergeCell ref="C211:M211"/>
    <mergeCell ref="C212:F212"/>
    <mergeCell ref="G212:J212"/>
    <mergeCell ref="K212:N212"/>
    <mergeCell ref="C213:F213"/>
    <mergeCell ref="G213:J213"/>
    <mergeCell ref="K213:N213"/>
    <mergeCell ref="C214:F214"/>
    <mergeCell ref="G214:J214"/>
    <mergeCell ref="K214:N214"/>
    <mergeCell ref="B216:M216"/>
    <mergeCell ref="B217:D217"/>
    <mergeCell ref="B218:D218"/>
    <mergeCell ref="B219:D219"/>
    <mergeCell ref="B220:D220"/>
    <mergeCell ref="B223:M223"/>
    <mergeCell ref="B225:M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B236:M236"/>
    <mergeCell ref="B237:G237"/>
    <mergeCell ref="H237:M237"/>
    <mergeCell ref="B238:G238"/>
    <mergeCell ref="H238:M238"/>
    <mergeCell ref="B239:G239"/>
    <mergeCell ref="H239:M239"/>
    <mergeCell ref="B240:G240"/>
    <mergeCell ref="H240:M240"/>
    <mergeCell ref="B241:G241"/>
    <mergeCell ref="H241:M241"/>
    <mergeCell ref="B242:G242"/>
    <mergeCell ref="H242:M242"/>
    <mergeCell ref="B243:G243"/>
    <mergeCell ref="H243:M243"/>
    <mergeCell ref="B244:G244"/>
    <mergeCell ref="H244:M244"/>
    <mergeCell ref="B245:G245"/>
    <mergeCell ref="H245:M245"/>
    <mergeCell ref="B246:G246"/>
    <mergeCell ref="H246:M246"/>
    <mergeCell ref="B247:G247"/>
    <mergeCell ref="H247:M247"/>
    <mergeCell ref="B248:G248"/>
    <mergeCell ref="H248:M248"/>
    <mergeCell ref="B249:G249"/>
    <mergeCell ref="H249:M249"/>
    <mergeCell ref="B252:M252"/>
    <mergeCell ref="B254:M254"/>
    <mergeCell ref="C255:F255"/>
    <mergeCell ref="G255:M255"/>
    <mergeCell ref="C256:F256"/>
    <mergeCell ref="G256:M256"/>
    <mergeCell ref="C257:F257"/>
    <mergeCell ref="G257:M257"/>
    <mergeCell ref="C258:F258"/>
    <mergeCell ref="G258:M258"/>
    <mergeCell ref="C259:F259"/>
    <mergeCell ref="G259:M259"/>
    <mergeCell ref="C260:F260"/>
    <mergeCell ref="G260:M260"/>
    <mergeCell ref="C261:F261"/>
    <mergeCell ref="G261:M261"/>
    <mergeCell ref="B263:M263"/>
    <mergeCell ref="B264:I264"/>
    <mergeCell ref="J264:M264"/>
    <mergeCell ref="B265:I265"/>
    <mergeCell ref="J265:M265"/>
    <mergeCell ref="B266:I266"/>
    <mergeCell ref="J266:M266"/>
    <mergeCell ref="B267:I267"/>
    <mergeCell ref="J267:M267"/>
    <mergeCell ref="B268:I268"/>
    <mergeCell ref="J268:M268"/>
    <mergeCell ref="B269:I269"/>
    <mergeCell ref="J269:M269"/>
    <mergeCell ref="B270:I270"/>
    <mergeCell ref="J270:M270"/>
    <mergeCell ref="B272:M272"/>
    <mergeCell ref="C273:D273"/>
    <mergeCell ref="C274:D274"/>
    <mergeCell ref="C275:D275"/>
    <mergeCell ref="C276:D276"/>
    <mergeCell ref="B278:M278"/>
    <mergeCell ref="B279:I279"/>
    <mergeCell ref="J279:M279"/>
    <mergeCell ref="B280:I280"/>
    <mergeCell ref="J280:M280"/>
    <mergeCell ref="B281:I281"/>
    <mergeCell ref="J281:M281"/>
    <mergeCell ref="B282:I282"/>
    <mergeCell ref="J282:M282"/>
    <mergeCell ref="B283:I283"/>
    <mergeCell ref="J283:M283"/>
    <mergeCell ref="B284:I284"/>
    <mergeCell ref="J284:M284"/>
    <mergeCell ref="B285:I285"/>
    <mergeCell ref="J285:M285"/>
    <mergeCell ref="B286:I286"/>
    <mergeCell ref="J286:M286"/>
    <mergeCell ref="B287:I287"/>
    <mergeCell ref="J287:M287"/>
    <mergeCell ref="B288:I288"/>
    <mergeCell ref="J288:M288"/>
    <mergeCell ref="B290:M290"/>
    <mergeCell ref="B291:I291"/>
    <mergeCell ref="J291:M291"/>
    <mergeCell ref="B292:I292"/>
    <mergeCell ref="J292:M292"/>
    <mergeCell ref="B293:I293"/>
    <mergeCell ref="J293:M293"/>
    <mergeCell ref="B294:I294"/>
    <mergeCell ref="J294:M294"/>
    <mergeCell ref="B295:I295"/>
    <mergeCell ref="J295:M295"/>
    <mergeCell ref="B296:I296"/>
    <mergeCell ref="J296:M296"/>
    <mergeCell ref="B298:M298"/>
    <mergeCell ref="B299:I299"/>
    <mergeCell ref="J299:M299"/>
    <mergeCell ref="B300:I300"/>
    <mergeCell ref="J300:M300"/>
    <mergeCell ref="B301:I301"/>
    <mergeCell ref="J301:M301"/>
    <mergeCell ref="B302:I302"/>
    <mergeCell ref="J302:M302"/>
    <mergeCell ref="B304:M304"/>
    <mergeCell ref="B305:I305"/>
    <mergeCell ref="J305:M305"/>
    <mergeCell ref="B306:I306"/>
    <mergeCell ref="J306:M306"/>
    <mergeCell ref="B307:I307"/>
    <mergeCell ref="J307:M307"/>
    <mergeCell ref="B309:M309"/>
    <mergeCell ref="B311:M311"/>
    <mergeCell ref="B312:D312"/>
    <mergeCell ref="E312:H312"/>
    <mergeCell ref="I312:J312"/>
    <mergeCell ref="L312:M312"/>
    <mergeCell ref="B313:D313"/>
    <mergeCell ref="E313:H313"/>
    <mergeCell ref="I313:J313"/>
    <mergeCell ref="L313:M313"/>
    <mergeCell ref="B314:M314"/>
    <mergeCell ref="B317:M317"/>
    <mergeCell ref="B319:M3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2026-06-30T06:41:08Z</dcterms:created>
  <dc:creator>openpyxl</dc:creator>
  <dc:description/>
  <dc:language>en-US</dc:language>
  <cp:lastModifiedBy>Ravi Kant</cp:lastModifiedBy>
  <dcterms:modified xsi:type="dcterms:W3CDTF">2026-06-30T08:56:52Z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